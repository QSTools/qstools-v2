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/>
  <mc:AlternateContent xmlns:mc="http://schemas.openxmlformats.org/markup-compatibility/2006">
    <mc:Choice Requires="x15">
      <x15ac:absPath xmlns:x15ac="http://schemas.microsoft.com/office/spreadsheetml/2010/11/ac" url="D:\QSTools\qstools-web\docs\Excel Imports\"/>
    </mc:Choice>
  </mc:AlternateContent>
  <xr:revisionPtr revIDLastSave="0" documentId="8_{0B02F2A8-EDD9-4AA2-BEE7-5618BCBD22A3}" xr6:coauthVersionLast="47" xr6:coauthVersionMax="47" xr10:uidLastSave="{00000000-0000-0000-0000-000000000000}"/>
  <bookViews>
    <workbookView xWindow="3765" yWindow="3765" windowWidth="28800" windowHeight="11295" xr2:uid="{00000000-000D-0000-FFFF-FFFF00000000}"/>
  </bookViews>
  <sheets>
    <sheet name="Balance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3" i="1" l="1"/>
  <c r="C48" i="1"/>
  <c r="C42" i="1"/>
  <c r="C49" i="1" s="1"/>
  <c r="C20" i="1"/>
  <c r="C12" i="1"/>
  <c r="C21" i="1" s="1"/>
  <c r="C51" i="1" s="1"/>
</calcChain>
</file>

<file path=xl/sharedStrings.xml><?xml version="1.0" encoding="utf-8"?>
<sst xmlns="http://schemas.openxmlformats.org/spreadsheetml/2006/main" count="59" uniqueCount="59">
  <si>
    <t>Balance Sheet</t>
  </si>
  <si>
    <t>As at 31 March 2026</t>
  </si>
  <si>
    <t>Account</t>
  </si>
  <si>
    <t>31 Mar 2026</t>
  </si>
  <si>
    <t>Assets</t>
  </si>
  <si>
    <t>Current Assets</t>
  </si>
  <si>
    <t>Accounts Receivable</t>
  </si>
  <si>
    <t>Accounts Receivable - Other</t>
  </si>
  <si>
    <t>Prepayments</t>
  </si>
  <si>
    <t>Total Current Assets</t>
  </si>
  <si>
    <t>Fixed Assets</t>
  </si>
  <si>
    <t>Motor Vehicles - Asset</t>
  </si>
  <si>
    <t>Motor Vehicles - Depreciation</t>
  </si>
  <si>
    <t>Office Equipment - Asset</t>
  </si>
  <si>
    <t>Office Equipment - Depreciation</t>
  </si>
  <si>
    <t>Plant &amp; Equipment - Asset</t>
  </si>
  <si>
    <t>Plant &amp; Equipment - Depreciation</t>
  </si>
  <si>
    <t>Total Fixed Assets</t>
  </si>
  <si>
    <t>Total Assets</t>
  </si>
  <si>
    <t>Liabilities</t>
  </si>
  <si>
    <t>Current Liabilities</t>
  </si>
  <si>
    <t>ACC Repayments</t>
  </si>
  <si>
    <t>Accounts Payable</t>
  </si>
  <si>
    <t>BNZ - 00 Account (Income)</t>
  </si>
  <si>
    <t>BNZ - 03 Account (Bills)</t>
  </si>
  <si>
    <t>Current Portion - Nissan</t>
  </si>
  <si>
    <t>Current Portion - Oxford Finance</t>
  </si>
  <si>
    <t>Current Portion - UDC</t>
  </si>
  <si>
    <t>Current Portion - UDC Ford</t>
  </si>
  <si>
    <t>ECC Repayments (for ACC)</t>
  </si>
  <si>
    <t>GST</t>
  </si>
  <si>
    <t>Income Tax</t>
  </si>
  <si>
    <t>IRD Covid Loan (Drawn 16 Feb 2022)</t>
  </si>
  <si>
    <t>IRD Repayment Plan</t>
  </si>
  <si>
    <t>Monument Finance - Insurance</t>
  </si>
  <si>
    <t>PAYE Payable</t>
  </si>
  <si>
    <t>Retensions</t>
  </si>
  <si>
    <t>Rounding</t>
  </si>
  <si>
    <t>Total Current Liabilities</t>
  </si>
  <si>
    <t>Non-current Liabilities</t>
  </si>
  <si>
    <t>Oxford Finance (Komatsu PC55)</t>
  </si>
  <si>
    <t>UDC - Ford Mondeo</t>
  </si>
  <si>
    <t>UDC - Holden Colorado</t>
  </si>
  <si>
    <t>Total Non-current Liabilities</t>
  </si>
  <si>
    <t>Total Liabilities</t>
  </si>
  <si>
    <t>Net Assets</t>
  </si>
  <si>
    <t>Equity</t>
  </si>
  <si>
    <t>1 Ordinary Share</t>
  </si>
  <si>
    <t>Current Year Earnings</t>
  </si>
  <si>
    <t>Historical Adjustment.</t>
  </si>
  <si>
    <t>Interest - O/D Current Account</t>
  </si>
  <si>
    <t>Retained Earnings</t>
  </si>
  <si>
    <t>Salary Credited</t>
  </si>
  <si>
    <t>Total Equity</t>
  </si>
  <si>
    <t xml:space="preserve">UDC - 2022 NISSAN </t>
  </si>
  <si>
    <t xml:space="preserve">Drawings </t>
  </si>
  <si>
    <t xml:space="preserve">Funds Introduced </t>
  </si>
  <si>
    <t xml:space="preserve">Opening Balance </t>
  </si>
  <si>
    <t>Business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</si>
</sst>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(#,##0.00\)"/>
  </numFmts>
  <fonts count="7" x14ac:knownFonts="1">
    <font>
      <sz val="9"/>
      <color theme="1"/>
      <name val="Arial"/>
    </font>
    <font>
      <sz val="14"/>
      <color theme="1"/>
      <name val="Arial"/>
    </font>
    <font>
      <b/>
      <sz val="14"/>
      <color theme="1"/>
      <name val="Arial"/>
    </font>
    <font>
      <sz val="12"/>
      <color theme="1"/>
      <name val="Arial"/>
    </font>
    <font>
      <sz val="10"/>
      <color theme="1"/>
      <name val="Arial"/>
    </font>
    <font>
      <b/>
      <sz val="10"/>
      <color theme="1"/>
      <name val="Arial"/>
    </font>
    <font>
      <b/>
      <sz val="9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EBEBEB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vertical="center"/>
    </xf>
    <xf numFmtId="0" fontId="4" fillId="0" borderId="0" xfId="0" applyFont="1"/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right" vertical="center"/>
    </xf>
    <xf numFmtId="0" fontId="6" fillId="0" borderId="0" xfId="0" applyFont="1" applyAlignment="1">
      <alignment vertical="center"/>
    </xf>
    <xf numFmtId="0" fontId="0" fillId="0" borderId="2" xfId="0" applyBorder="1" applyAlignment="1">
      <alignment vertical="center"/>
    </xf>
    <xf numFmtId="164" fontId="0" fillId="0" borderId="2" xfId="0" applyNumberFormat="1" applyBorder="1" applyAlignment="1">
      <alignment horizontal="right" vertical="center"/>
    </xf>
    <xf numFmtId="0" fontId="6" fillId="0" borderId="2" xfId="0" applyFont="1" applyBorder="1" applyAlignment="1">
      <alignment vertical="center"/>
    </xf>
    <xf numFmtId="164" fontId="6" fillId="0" borderId="2" xfId="0" applyNumberFormat="1" applyFont="1" applyBorder="1" applyAlignment="1">
      <alignment horizontal="right" vertical="center"/>
    </xf>
    <xf numFmtId="0" fontId="6" fillId="2" borderId="3" xfId="0" applyFont="1" applyFill="1" applyBorder="1" applyAlignment="1">
      <alignment vertical="center"/>
    </xf>
    <xf numFmtId="164" fontId="6" fillId="2" borderId="3" xfId="0" applyNumberFormat="1" applyFont="1" applyFill="1" applyBorder="1" applyAlignment="1">
      <alignment horizontal="right" vertical="center"/>
    </xf>
    <xf numFmtId="0" fontId="0" fillId="0" borderId="0" xfId="0" applyAlignment="1">
      <alignment vertical="center"/>
    </xf>
    <xf numFmtId="164" fontId="0" fillId="0" borderId="0" xfId="0" applyNumberFormat="1" applyAlignment="1">
      <alignment horizontal="right" vertical="center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3"/>
  <sheetViews>
    <sheetView showGridLines="0" tabSelected="1" zoomScaleNormal="100" workbookViewId="0">
      <selection activeCell="A3" sqref="A3"/>
    </sheetView>
  </sheetViews>
  <sheetFormatPr defaultRowHeight="12" x14ac:dyDescent="0.2"/>
  <cols>
    <col min="1" max="1" width="1.42578125" customWidth="1"/>
    <col min="2" max="2" width="35.42578125" customWidth="1"/>
    <col min="3" max="3" width="14.42578125" customWidth="1"/>
  </cols>
  <sheetData>
    <row r="1" spans="1:3" s="1" customFormat="1" ht="16.7" customHeight="1" x14ac:dyDescent="0.25">
      <c r="A1" s="2" t="s">
        <v>0</v>
      </c>
      <c r="B1" s="2"/>
      <c r="C1" s="2"/>
    </row>
    <row r="2" spans="1:3" s="3" customFormat="1" ht="14.45" customHeight="1" x14ac:dyDescent="0.2">
      <c r="A2" s="4" t="s">
        <v>58</v>
      </c>
      <c r="B2" s="4"/>
      <c r="C2" s="4"/>
    </row>
    <row r="3" spans="1:3" s="3" customFormat="1" ht="14.45" customHeight="1" x14ac:dyDescent="0.2">
      <c r="A3" s="4" t="s">
        <v>1</v>
      </c>
      <c r="B3" s="4"/>
      <c r="C3" s="4"/>
    </row>
    <row r="4" spans="1:3" ht="13.35" customHeight="1" x14ac:dyDescent="0.2"/>
    <row r="5" spans="1:3" s="5" customFormat="1" ht="12.2" customHeight="1" x14ac:dyDescent="0.2">
      <c r="A5" s="6"/>
      <c r="B5" s="7" t="s">
        <v>2</v>
      </c>
      <c r="C5" s="8" t="s">
        <v>3</v>
      </c>
    </row>
    <row r="6" spans="1:3" ht="13.35" customHeight="1" x14ac:dyDescent="0.2"/>
    <row r="7" spans="1:3" s="5" customFormat="1" ht="12.2" customHeight="1" x14ac:dyDescent="0.2">
      <c r="A7" s="6" t="s">
        <v>4</v>
      </c>
      <c r="B7" s="6"/>
      <c r="C7" s="6"/>
    </row>
    <row r="8" spans="1:3" ht="10.9" customHeight="1" x14ac:dyDescent="0.2">
      <c r="A8" s="9"/>
      <c r="B8" s="9" t="s">
        <v>5</v>
      </c>
      <c r="C8" s="9"/>
    </row>
    <row r="9" spans="1:3" ht="10.9" customHeight="1" x14ac:dyDescent="0.2">
      <c r="B9" s="10" t="s">
        <v>6</v>
      </c>
      <c r="C9" s="11">
        <v>202345.72</v>
      </c>
    </row>
    <row r="10" spans="1:3" ht="10.9" customHeight="1" x14ac:dyDescent="0.2">
      <c r="B10" s="10" t="s">
        <v>7</v>
      </c>
      <c r="C10" s="11">
        <v>0.41</v>
      </c>
    </row>
    <row r="11" spans="1:3" ht="10.9" customHeight="1" x14ac:dyDescent="0.2">
      <c r="B11" s="10" t="s">
        <v>8</v>
      </c>
      <c r="C11" s="11">
        <v>14476.3</v>
      </c>
    </row>
    <row r="12" spans="1:3" ht="10.9" customHeight="1" x14ac:dyDescent="0.2">
      <c r="B12" s="12" t="s">
        <v>9</v>
      </c>
      <c r="C12" s="13">
        <f>SUM(C9:C11)</f>
        <v>216822.43</v>
      </c>
    </row>
    <row r="13" spans="1:3" ht="10.9" customHeight="1" x14ac:dyDescent="0.2">
      <c r="A13" s="9"/>
      <c r="B13" s="9" t="s">
        <v>10</v>
      </c>
      <c r="C13" s="9"/>
    </row>
    <row r="14" spans="1:3" ht="10.9" customHeight="1" x14ac:dyDescent="0.2">
      <c r="B14" s="10" t="s">
        <v>11</v>
      </c>
      <c r="C14" s="11">
        <v>140480.87</v>
      </c>
    </row>
    <row r="15" spans="1:3" ht="10.9" customHeight="1" x14ac:dyDescent="0.2">
      <c r="B15" s="10" t="s">
        <v>12</v>
      </c>
      <c r="C15" s="11">
        <v>-89821.01</v>
      </c>
    </row>
    <row r="16" spans="1:3" ht="10.9" customHeight="1" x14ac:dyDescent="0.2">
      <c r="B16" s="10" t="s">
        <v>13</v>
      </c>
      <c r="C16" s="11">
        <v>14497.37</v>
      </c>
    </row>
    <row r="17" spans="1:3" ht="10.9" customHeight="1" x14ac:dyDescent="0.2">
      <c r="B17" s="10" t="s">
        <v>14</v>
      </c>
      <c r="C17" s="11">
        <v>-14987.48</v>
      </c>
    </row>
    <row r="18" spans="1:3" ht="10.9" customHeight="1" x14ac:dyDescent="0.2">
      <c r="B18" s="10" t="s">
        <v>15</v>
      </c>
      <c r="C18" s="11">
        <v>87777.21</v>
      </c>
    </row>
    <row r="19" spans="1:3" ht="10.9" customHeight="1" x14ac:dyDescent="0.2">
      <c r="B19" s="10" t="s">
        <v>16</v>
      </c>
      <c r="C19" s="11">
        <v>-40205.61</v>
      </c>
    </row>
    <row r="20" spans="1:3" ht="10.9" customHeight="1" x14ac:dyDescent="0.2">
      <c r="B20" s="12" t="s">
        <v>17</v>
      </c>
      <c r="C20" s="13">
        <f>SUM(C14:C19)</f>
        <v>97741.35000000002</v>
      </c>
    </row>
    <row r="21" spans="1:3" ht="10.9" customHeight="1" x14ac:dyDescent="0.2">
      <c r="A21" s="12" t="s">
        <v>18</v>
      </c>
      <c r="C21" s="13">
        <f>(0 + (C12 + C20))</f>
        <v>314563.78000000003</v>
      </c>
    </row>
    <row r="22" spans="1:3" ht="13.35" customHeight="1" x14ac:dyDescent="0.2"/>
    <row r="23" spans="1:3" s="5" customFormat="1" ht="12.2" customHeight="1" x14ac:dyDescent="0.2">
      <c r="A23" s="6" t="s">
        <v>19</v>
      </c>
      <c r="B23" s="6"/>
      <c r="C23" s="6"/>
    </row>
    <row r="24" spans="1:3" ht="10.9" customHeight="1" x14ac:dyDescent="0.2">
      <c r="A24" s="9"/>
      <c r="B24" s="9" t="s">
        <v>20</v>
      </c>
      <c r="C24" s="9"/>
    </row>
    <row r="25" spans="1:3" ht="10.9" customHeight="1" x14ac:dyDescent="0.2">
      <c r="B25" s="10" t="s">
        <v>21</v>
      </c>
      <c r="C25" s="11">
        <v>7364.79</v>
      </c>
    </row>
    <row r="26" spans="1:3" ht="10.9" customHeight="1" x14ac:dyDescent="0.2">
      <c r="B26" s="10" t="s">
        <v>22</v>
      </c>
      <c r="C26" s="11">
        <v>177831.67999999999</v>
      </c>
    </row>
    <row r="27" spans="1:3" ht="10.9" customHeight="1" x14ac:dyDescent="0.2">
      <c r="B27" s="10" t="s">
        <v>23</v>
      </c>
      <c r="C27" s="11">
        <v>19625.63</v>
      </c>
    </row>
    <row r="28" spans="1:3" ht="10.9" customHeight="1" x14ac:dyDescent="0.2">
      <c r="B28" s="10" t="s">
        <v>24</v>
      </c>
      <c r="C28" s="11">
        <v>60.66</v>
      </c>
    </row>
    <row r="29" spans="1:3" ht="10.9" customHeight="1" x14ac:dyDescent="0.2">
      <c r="B29" s="10" t="s">
        <v>25</v>
      </c>
      <c r="C29" s="11">
        <v>12918.24</v>
      </c>
    </row>
    <row r="30" spans="1:3" ht="10.9" customHeight="1" x14ac:dyDescent="0.2">
      <c r="B30" s="10" t="s">
        <v>26</v>
      </c>
      <c r="C30" s="11">
        <v>-0.11</v>
      </c>
    </row>
    <row r="31" spans="1:3" ht="10.9" customHeight="1" x14ac:dyDescent="0.2">
      <c r="B31" s="10" t="s">
        <v>27</v>
      </c>
      <c r="C31" s="11">
        <v>0.21</v>
      </c>
    </row>
    <row r="32" spans="1:3" ht="10.9" customHeight="1" x14ac:dyDescent="0.2">
      <c r="B32" s="10" t="s">
        <v>28</v>
      </c>
      <c r="C32" s="11">
        <v>-0.4</v>
      </c>
    </row>
    <row r="33" spans="1:3" ht="10.9" customHeight="1" x14ac:dyDescent="0.2">
      <c r="B33" s="10" t="s">
        <v>29</v>
      </c>
      <c r="C33" s="11">
        <v>-12.93</v>
      </c>
    </row>
    <row r="34" spans="1:3" ht="10.9" customHeight="1" x14ac:dyDescent="0.2">
      <c r="B34" s="10" t="s">
        <v>30</v>
      </c>
      <c r="C34" s="11">
        <v>-21283.09</v>
      </c>
    </row>
    <row r="35" spans="1:3" ht="10.9" customHeight="1" x14ac:dyDescent="0.2">
      <c r="B35" s="10" t="s">
        <v>31</v>
      </c>
      <c r="C35" s="11">
        <v>2499.5100000000002</v>
      </c>
    </row>
    <row r="36" spans="1:3" ht="10.9" customHeight="1" x14ac:dyDescent="0.2">
      <c r="B36" s="10" t="s">
        <v>32</v>
      </c>
      <c r="C36" s="11">
        <v>23359.73</v>
      </c>
    </row>
    <row r="37" spans="1:3" ht="10.9" customHeight="1" x14ac:dyDescent="0.2">
      <c r="B37" s="10" t="s">
        <v>33</v>
      </c>
      <c r="C37" s="11">
        <v>-5667.08</v>
      </c>
    </row>
    <row r="38" spans="1:3" ht="10.9" customHeight="1" x14ac:dyDescent="0.2">
      <c r="B38" s="10" t="s">
        <v>34</v>
      </c>
      <c r="C38" s="11">
        <v>17583.59</v>
      </c>
    </row>
    <row r="39" spans="1:3" ht="10.9" customHeight="1" x14ac:dyDescent="0.2">
      <c r="B39" s="10" t="s">
        <v>35</v>
      </c>
      <c r="C39" s="11">
        <v>14455.7</v>
      </c>
    </row>
    <row r="40" spans="1:3" ht="10.9" customHeight="1" x14ac:dyDescent="0.2">
      <c r="B40" s="10" t="s">
        <v>36</v>
      </c>
      <c r="C40" s="11">
        <v>22121.94</v>
      </c>
    </row>
    <row r="41" spans="1:3" ht="10.9" customHeight="1" x14ac:dyDescent="0.2">
      <c r="B41" s="10" t="s">
        <v>37</v>
      </c>
      <c r="C41" s="11">
        <v>-0.22</v>
      </c>
    </row>
    <row r="42" spans="1:3" ht="10.9" customHeight="1" x14ac:dyDescent="0.2">
      <c r="B42" s="12" t="s">
        <v>38</v>
      </c>
      <c r="C42" s="13">
        <f>SUM(C25:C41)</f>
        <v>270857.85000000009</v>
      </c>
    </row>
    <row r="43" spans="1:3" ht="10.9" customHeight="1" x14ac:dyDescent="0.2">
      <c r="A43" s="9"/>
      <c r="B43" s="9" t="s">
        <v>39</v>
      </c>
      <c r="C43" s="9"/>
    </row>
    <row r="44" spans="1:3" ht="10.9" customHeight="1" x14ac:dyDescent="0.2">
      <c r="B44" s="10" t="s">
        <v>40</v>
      </c>
      <c r="C44" s="11">
        <v>-1071.3499999999999</v>
      </c>
    </row>
    <row r="45" spans="1:3" ht="10.9" customHeight="1" x14ac:dyDescent="0.2">
      <c r="B45" s="10" t="s">
        <v>54</v>
      </c>
      <c r="C45" s="11">
        <v>-3388.71</v>
      </c>
    </row>
    <row r="46" spans="1:3" ht="10.9" customHeight="1" x14ac:dyDescent="0.2">
      <c r="B46" s="10" t="s">
        <v>41</v>
      </c>
      <c r="C46" s="11">
        <v>-0.11</v>
      </c>
    </row>
    <row r="47" spans="1:3" ht="10.9" customHeight="1" x14ac:dyDescent="0.2">
      <c r="B47" s="10" t="s">
        <v>42</v>
      </c>
      <c r="C47" s="11">
        <v>-1392.44</v>
      </c>
    </row>
    <row r="48" spans="1:3" ht="10.9" customHeight="1" x14ac:dyDescent="0.2">
      <c r="B48" s="12" t="s">
        <v>43</v>
      </c>
      <c r="C48" s="13">
        <f>SUM(C44:C47)</f>
        <v>-5852.6099999999988</v>
      </c>
    </row>
    <row r="49" spans="1:3" ht="10.9" customHeight="1" x14ac:dyDescent="0.2">
      <c r="A49" s="12" t="s">
        <v>44</v>
      </c>
      <c r="C49" s="13">
        <f>(0 + (C42 + C48))</f>
        <v>265005.24000000011</v>
      </c>
    </row>
    <row r="50" spans="1:3" ht="13.35" customHeight="1" x14ac:dyDescent="0.2"/>
    <row r="51" spans="1:3" ht="10.9" customHeight="1" x14ac:dyDescent="0.2">
      <c r="B51" s="14" t="s">
        <v>45</v>
      </c>
      <c r="C51" s="15">
        <f>(C21 - C49)</f>
        <v>49558.539999999921</v>
      </c>
    </row>
    <row r="52" spans="1:3" ht="13.35" customHeight="1" x14ac:dyDescent="0.2"/>
    <row r="53" spans="1:3" s="5" customFormat="1" ht="12.2" customHeight="1" x14ac:dyDescent="0.2">
      <c r="A53" s="6" t="s">
        <v>46</v>
      </c>
      <c r="B53" s="6"/>
      <c r="C53" s="6"/>
    </row>
    <row r="54" spans="1:3" ht="10.9" customHeight="1" x14ac:dyDescent="0.2">
      <c r="B54" s="16" t="s">
        <v>47</v>
      </c>
      <c r="C54" s="17">
        <v>1</v>
      </c>
    </row>
    <row r="55" spans="1:3" ht="10.9" customHeight="1" x14ac:dyDescent="0.2">
      <c r="B55" s="10" t="s">
        <v>48</v>
      </c>
      <c r="C55" s="11">
        <v>-99980.06</v>
      </c>
    </row>
    <row r="56" spans="1:3" ht="10.9" customHeight="1" x14ac:dyDescent="0.2">
      <c r="B56" s="10" t="s">
        <v>55</v>
      </c>
      <c r="C56" s="11">
        <v>-377087.7</v>
      </c>
    </row>
    <row r="57" spans="1:3" ht="10.9" customHeight="1" x14ac:dyDescent="0.2">
      <c r="B57" s="10" t="s">
        <v>56</v>
      </c>
      <c r="C57" s="11">
        <v>252011.19</v>
      </c>
    </row>
    <row r="58" spans="1:3" ht="10.9" customHeight="1" x14ac:dyDescent="0.2">
      <c r="B58" s="10" t="s">
        <v>49</v>
      </c>
      <c r="C58" s="11">
        <v>0.1</v>
      </c>
    </row>
    <row r="59" spans="1:3" ht="10.9" customHeight="1" x14ac:dyDescent="0.2">
      <c r="B59" s="10" t="s">
        <v>50</v>
      </c>
      <c r="C59" s="11">
        <v>-9145.9699999999993</v>
      </c>
    </row>
    <row r="60" spans="1:3" ht="10.9" customHeight="1" x14ac:dyDescent="0.2">
      <c r="B60" s="10" t="s">
        <v>57</v>
      </c>
      <c r="C60" s="11">
        <v>-45148</v>
      </c>
    </row>
    <row r="61" spans="1:3" ht="10.9" customHeight="1" x14ac:dyDescent="0.2">
      <c r="B61" s="10" t="s">
        <v>51</v>
      </c>
      <c r="C61" s="11">
        <v>65699.87</v>
      </c>
    </row>
    <row r="62" spans="1:3" ht="10.9" customHeight="1" x14ac:dyDescent="0.2">
      <c r="B62" s="10" t="s">
        <v>52</v>
      </c>
      <c r="C62" s="11">
        <v>263208.11</v>
      </c>
    </row>
    <row r="63" spans="1:3" ht="10.9" customHeight="1" x14ac:dyDescent="0.2">
      <c r="A63" s="12" t="s">
        <v>53</v>
      </c>
      <c r="C63" s="13">
        <f>SUM(C54:C62)</f>
        <v>49558.539999999979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Davis</dc:creator>
  <cp:lastModifiedBy>Paul Davis</cp:lastModifiedBy>
  <dcterms:created xsi:type="dcterms:W3CDTF">2026-09-13T23:43:33Z</dcterms:created>
  <dcterms:modified xsi:type="dcterms:W3CDTF">2026-09-13T23:43:34Z</dcterms:modified>
</cp:coreProperties>
</file>