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D:\QSTools\qstools-web\docs\Audit\v6_0\smoke_test\"/>
    </mc:Choice>
  </mc:AlternateContent>
  <xr:revisionPtr revIDLastSave="0" documentId="13_ncr:1_{0FACAE65-4F5C-43E0-9D35-59FC7E40C275}" xr6:coauthVersionLast="47" xr6:coauthVersionMax="47" xr10:uidLastSave="{00000000-0000-0000-0000-000000000000}"/>
  <bookViews>
    <workbookView xWindow="-105" yWindow="0" windowWidth="19410" windowHeight="15585" xr2:uid="{00000000-000D-0000-FFFF-FFFF00000000}"/>
  </bookViews>
  <sheets>
    <sheet name="Profit and L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B32" i="1" s="1"/>
  <c r="B20" i="1"/>
  <c r="B14" i="1"/>
  <c r="B9" i="1"/>
  <c r="B16" i="1" l="1"/>
  <c r="B34" i="1" s="1"/>
</calcChain>
</file>

<file path=xl/sharedStrings.xml><?xml version="1.0" encoding="utf-8"?>
<sst xmlns="http://schemas.openxmlformats.org/spreadsheetml/2006/main" count="20" uniqueCount="20">
  <si>
    <t>Profit and Loss</t>
  </si>
  <si>
    <t>TSC Construction Ltd</t>
  </si>
  <si>
    <t>For the year ended 31 March 2026</t>
  </si>
  <si>
    <t>Account</t>
  </si>
  <si>
    <t>2026</t>
  </si>
  <si>
    <t>Trading Income</t>
  </si>
  <si>
    <t>Sales</t>
  </si>
  <si>
    <t>Total Trading Income</t>
  </si>
  <si>
    <t>Cost of Sales</t>
  </si>
  <si>
    <t>Total Cost of Sales</t>
  </si>
  <si>
    <t>Gross Profit</t>
  </si>
  <si>
    <t>Other Income</t>
  </si>
  <si>
    <t>Total Other Income</t>
  </si>
  <si>
    <t>Operating Expenses</t>
  </si>
  <si>
    <t>ACC Levy</t>
  </si>
  <si>
    <t>KiwiSaver Employer Contributions</t>
  </si>
  <si>
    <t>Salary &amp; Wages</t>
  </si>
  <si>
    <t>Staff Expenses</t>
  </si>
  <si>
    <t>Total Operating Expenses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</si>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</sst>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"/>
  </numFmts>
  <fonts count="8" x14ac:knownFonts="1">
    <font>
      <sz val="9"/>
      <color theme="1"/>
      <name val="Arial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12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right" vertical="center"/>
    </xf>
    <xf numFmtId="0" fontId="6" fillId="0" borderId="2" xfId="0" applyFont="1" applyBorder="1" applyAlignment="1">
      <alignment vertical="center"/>
    </xf>
    <xf numFmtId="164" fontId="6" fillId="0" borderId="2" xfId="0" applyNumberFormat="1" applyFont="1" applyBorder="1" applyAlignment="1">
      <alignment horizontal="right" vertical="center"/>
    </xf>
    <xf numFmtId="0" fontId="0" fillId="0" borderId="2" xfId="0" applyBorder="1" applyAlignment="1">
      <alignment vertical="center"/>
    </xf>
    <xf numFmtId="164" fontId="0" fillId="0" borderId="2" xfId="0" applyNumberFormat="1" applyBorder="1" applyAlignment="1">
      <alignment horizontal="right" vertical="center"/>
    </xf>
    <xf numFmtId="0" fontId="6" fillId="2" borderId="3" xfId="0" applyFont="1" applyFill="1" applyBorder="1" applyAlignment="1">
      <alignment vertical="center"/>
    </xf>
    <xf numFmtId="164" fontId="6" fillId="2" borderId="3" xfId="0" applyNumberFormat="1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showGridLines="0" tabSelected="1" zoomScaleNormal="100" workbookViewId="0">
      <selection activeCell="F32" activeCellId="1" sqref="B26 F32"/>
    </sheetView>
  </sheetViews>
  <sheetFormatPr defaultRowHeight="12" x14ac:dyDescent="0.2"/>
  <cols>
    <col min="1" max="1" width="36.42578125" bestFit="1" customWidth="1"/>
    <col min="2" max="2" width="12.85546875" customWidth="1"/>
  </cols>
  <sheetData>
    <row r="1" spans="1:2" s="1" customFormat="1" ht="16.7" customHeight="1" x14ac:dyDescent="0.25">
      <c r="A1" s="2" t="s">
        <v>0</v>
      </c>
      <c r="B1" s="2"/>
    </row>
    <row r="2" spans="1:2" s="3" customFormat="1" ht="14.45" customHeight="1" x14ac:dyDescent="0.2">
      <c r="A2" s="17" t="s">
        <v>1</v>
      </c>
      <c r="B2" s="4"/>
    </row>
    <row r="3" spans="1:2" s="3" customFormat="1" ht="14.45" customHeight="1" x14ac:dyDescent="0.2">
      <c r="A3" s="4" t="s">
        <v>2</v>
      </c>
      <c r="B3" s="4"/>
    </row>
    <row r="4" spans="1:2" ht="13.35" customHeight="1" x14ac:dyDescent="0.2"/>
    <row r="5" spans="1:2" s="5" customFormat="1" ht="12.2" customHeight="1" x14ac:dyDescent="0.2">
      <c r="A5" s="6" t="s">
        <v>3</v>
      </c>
      <c r="B5" s="7" t="s">
        <v>4</v>
      </c>
    </row>
    <row r="6" spans="1:2" ht="13.35" customHeight="1" x14ac:dyDescent="0.2"/>
    <row r="7" spans="1:2" s="5" customFormat="1" ht="12.2" customHeight="1" x14ac:dyDescent="0.2">
      <c r="A7" s="8" t="s">
        <v>5</v>
      </c>
      <c r="B7" s="8"/>
    </row>
    <row r="8" spans="1:2" ht="10.9" customHeight="1" x14ac:dyDescent="0.2">
      <c r="A8" s="9" t="s">
        <v>6</v>
      </c>
      <c r="B8" s="10">
        <v>141412</v>
      </c>
    </row>
    <row r="9" spans="1:2" ht="10.9" customHeight="1" x14ac:dyDescent="0.2">
      <c r="A9" s="11" t="s">
        <v>7</v>
      </c>
      <c r="B9" s="12">
        <f>B8</f>
        <v>141412</v>
      </c>
    </row>
    <row r="10" spans="1:2" ht="13.35" customHeight="1" x14ac:dyDescent="0.2"/>
    <row r="11" spans="1:2" s="5" customFormat="1" ht="12.2" customHeight="1" x14ac:dyDescent="0.2">
      <c r="A11" s="8" t="s">
        <v>8</v>
      </c>
      <c r="B11" s="8"/>
    </row>
    <row r="12" spans="1:2" ht="10.9" customHeight="1" x14ac:dyDescent="0.2">
      <c r="A12" s="9"/>
      <c r="B12" s="10"/>
    </row>
    <row r="13" spans="1:2" ht="10.9" customHeight="1" x14ac:dyDescent="0.2">
      <c r="A13" s="13"/>
      <c r="B13" s="14"/>
    </row>
    <row r="14" spans="1:2" ht="10.9" customHeight="1" x14ac:dyDescent="0.2">
      <c r="A14" s="11" t="s">
        <v>9</v>
      </c>
      <c r="B14" s="12">
        <f>SUM(B12:B13)</f>
        <v>0</v>
      </c>
    </row>
    <row r="15" spans="1:2" ht="13.35" customHeight="1" x14ac:dyDescent="0.2"/>
    <row r="16" spans="1:2" ht="10.9" customHeight="1" x14ac:dyDescent="0.2">
      <c r="A16" s="15" t="s">
        <v>10</v>
      </c>
      <c r="B16" s="16">
        <f>(B9 - B14)</f>
        <v>141412</v>
      </c>
    </row>
    <row r="17" spans="1:2" ht="13.35" customHeight="1" x14ac:dyDescent="0.2"/>
    <row r="18" spans="1:2" s="5" customFormat="1" ht="12.2" customHeight="1" x14ac:dyDescent="0.2">
      <c r="A18" s="8" t="s">
        <v>11</v>
      </c>
      <c r="B18" s="8"/>
    </row>
    <row r="19" spans="1:2" ht="10.9" customHeight="1" x14ac:dyDescent="0.2">
      <c r="A19" s="9"/>
      <c r="B19" s="10"/>
    </row>
    <row r="20" spans="1:2" ht="10.9" customHeight="1" x14ac:dyDescent="0.2">
      <c r="A20" s="11" t="s">
        <v>12</v>
      </c>
      <c r="B20" s="12">
        <f>B19</f>
        <v>0</v>
      </c>
    </row>
    <row r="21" spans="1:2" ht="13.35" customHeight="1" x14ac:dyDescent="0.2"/>
    <row r="22" spans="1:2" s="5" customFormat="1" ht="12.2" customHeight="1" x14ac:dyDescent="0.2">
      <c r="A22" s="8" t="s">
        <v>13</v>
      </c>
      <c r="B22" s="8"/>
    </row>
    <row r="23" spans="1:2" ht="10.9" customHeight="1" x14ac:dyDescent="0.2">
      <c r="A23" s="9" t="s">
        <v>14</v>
      </c>
      <c r="B23" s="10">
        <v>1487</v>
      </c>
    </row>
    <row r="24" spans="1:2" ht="10.9" customHeight="1" x14ac:dyDescent="0.2">
      <c r="A24" s="13" t="s">
        <v>15</v>
      </c>
      <c r="B24" s="14">
        <f>3640+1201</f>
        <v>4841</v>
      </c>
    </row>
    <row r="25" spans="1:2" ht="10.9" customHeight="1" x14ac:dyDescent="0.2">
      <c r="A25" s="13" t="s">
        <v>16</v>
      </c>
      <c r="B25" s="14">
        <v>104000</v>
      </c>
    </row>
    <row r="26" spans="1:2" ht="10.9" customHeight="1" x14ac:dyDescent="0.2">
      <c r="A26" s="13" t="s">
        <v>17</v>
      </c>
      <c r="B26" s="14">
        <v>1000</v>
      </c>
    </row>
    <row r="27" spans="1:2" ht="10.9" customHeight="1" x14ac:dyDescent="0.2">
      <c r="A27" s="13"/>
      <c r="B27" s="14"/>
    </row>
    <row r="28" spans="1:2" ht="10.9" customHeight="1" x14ac:dyDescent="0.2">
      <c r="A28" s="13"/>
      <c r="B28" s="14"/>
    </row>
    <row r="29" spans="1:2" ht="10.9" customHeight="1" x14ac:dyDescent="0.2">
      <c r="A29" s="13"/>
      <c r="B29" s="14"/>
    </row>
    <row r="30" spans="1:2" ht="10.9" customHeight="1" x14ac:dyDescent="0.2">
      <c r="A30" s="13"/>
      <c r="B30" s="14"/>
    </row>
    <row r="31" spans="1:2" ht="10.9" customHeight="1" x14ac:dyDescent="0.2">
      <c r="A31" s="13"/>
      <c r="B31" s="14"/>
    </row>
    <row r="32" spans="1:2" ht="10.9" customHeight="1" x14ac:dyDescent="0.2">
      <c r="A32" s="11" t="s">
        <v>18</v>
      </c>
      <c r="B32" s="12">
        <f>SUM(B23:B31)</f>
        <v>111328</v>
      </c>
    </row>
    <row r="33" spans="1:2" ht="13.35" customHeight="1" x14ac:dyDescent="0.2"/>
    <row r="34" spans="1:2" ht="10.9" customHeight="1" x14ac:dyDescent="0.2">
      <c r="A34" s="15" t="s">
        <v>19</v>
      </c>
      <c r="B34" s="16">
        <f>((B16 + B20) - B32)</f>
        <v>30084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and 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 Davis</cp:lastModifiedBy>
  <dcterms:modified xsi:type="dcterms:W3CDTF">2026-09-26T05:00:49Z</dcterms:modified>
</cp:coreProperties>
</file>