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D:\QSTools\qstools-web\docs\Excel Imports\"/>
    </mc:Choice>
  </mc:AlternateContent>
  <xr:revisionPtr revIDLastSave="0" documentId="13_ncr:1_{CE9D5EC2-A616-4249-A0CE-CD8B91638855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Profit and Lo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9" i="1" l="1"/>
  <c r="B30" i="1"/>
  <c r="B24" i="1"/>
  <c r="B9" i="1"/>
  <c r="B26" i="1" s="1"/>
  <c r="B61" i="1" s="1"/>
</calcChain>
</file>

<file path=xl/sharedStrings.xml><?xml version="1.0" encoding="utf-8"?>
<sst xmlns="http://schemas.openxmlformats.org/spreadsheetml/2006/main" count="55" uniqueCount="55">
  <si>
    <t>Profit and Loss</t>
  </si>
  <si>
    <t>TSC Construction Ltd</t>
  </si>
  <si>
    <t>For the year ended 31 March 2026</t>
  </si>
  <si>
    <t>Account</t>
  </si>
  <si>
    <t>2026</t>
  </si>
  <si>
    <t>Trading Income</t>
  </si>
  <si>
    <t>Sales</t>
  </si>
  <si>
    <t>Total Trading Income</t>
  </si>
  <si>
    <t>Cost of Sales</t>
  </si>
  <si>
    <t>Cartage</t>
  </si>
  <si>
    <t>Concrete Laying</t>
  </si>
  <si>
    <t>Concrete Pumping</t>
  </si>
  <si>
    <t>Concrete Purchase</t>
  </si>
  <si>
    <t>Equipment Hire</t>
  </si>
  <si>
    <t>Opening Work in progress (WIP)</t>
  </si>
  <si>
    <t>Purchases - Fill</t>
  </si>
  <si>
    <t>Purchases - Other</t>
  </si>
  <si>
    <t>Purchases - Steel</t>
  </si>
  <si>
    <t>Subcontracting - General</t>
  </si>
  <si>
    <t>Subcontracting - Labour</t>
  </si>
  <si>
    <t>Waste Disposal</t>
  </si>
  <si>
    <t>Total Cost of Sales</t>
  </si>
  <si>
    <t>Gross Profit</t>
  </si>
  <si>
    <t>Other Income</t>
  </si>
  <si>
    <t>Motor Vehicle Contribution</t>
  </si>
  <si>
    <t>Total Other Income</t>
  </si>
  <si>
    <t>Operating Expenses</t>
  </si>
  <si>
    <t>ACC Levy</t>
  </si>
  <si>
    <t>Accounting Fees</t>
  </si>
  <si>
    <t>Administration Fees</t>
  </si>
  <si>
    <t>Advertising</t>
  </si>
  <si>
    <t>Bank Fees</t>
  </si>
  <si>
    <t>Cleaning</t>
  </si>
  <si>
    <t>Computer Expenses</t>
  </si>
  <si>
    <t>Entertainment</t>
  </si>
  <si>
    <t>Entertainment - Non deductible</t>
  </si>
  <si>
    <t>Insurance</t>
  </si>
  <si>
    <t>Interest Expense</t>
  </si>
  <si>
    <t>KiwiSaver Employer Contributions</t>
  </si>
  <si>
    <t>Legal Expenses</t>
  </si>
  <si>
    <t>Licences &amp; Registrations</t>
  </si>
  <si>
    <t>Motor Vehicle Expenses</t>
  </si>
  <si>
    <t>Office Expenses</t>
  </si>
  <si>
    <t>Penalties and Fees</t>
  </si>
  <si>
    <t>Printing &amp; Stationery</t>
  </si>
  <si>
    <t>Repairs and Maintenance</t>
  </si>
  <si>
    <t>Salary &amp; Wages</t>
  </si>
  <si>
    <t>Staff Expenses</t>
  </si>
  <si>
    <t>Storage Fees</t>
  </si>
  <si>
    <t>Subscriptions</t>
  </si>
  <si>
    <t>Telephone &amp; Internet</t>
  </si>
  <si>
    <t>Tools &amp; Equipment</t>
  </si>
  <si>
    <t>Travel - National</t>
  </si>
  <si>
    <t>Total Operating Expenses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</si>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</sst>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(#,##0.00\)"/>
  </numFmts>
  <fonts count="8" x14ac:knownFonts="1">
    <font>
      <sz val="9"/>
      <color theme="1"/>
      <name val="Arial"/>
    </font>
    <font>
      <sz val="14"/>
      <color theme="1"/>
      <name val="Arial"/>
    </font>
    <font>
      <b/>
      <sz val="14"/>
      <color theme="1"/>
      <name val="Arial"/>
    </font>
    <font>
      <sz val="12"/>
      <color theme="1"/>
      <name val="Arial"/>
    </font>
    <font>
      <sz val="10"/>
      <color theme="1"/>
      <name val="Arial"/>
    </font>
    <font>
      <b/>
      <sz val="10"/>
      <color theme="1"/>
      <name val="Arial"/>
    </font>
    <font>
      <b/>
      <sz val="9"/>
      <color theme="1"/>
      <name val="Arial"/>
    </font>
    <font>
      <sz val="12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horizontal="right" vertical="center"/>
    </xf>
    <xf numFmtId="0" fontId="6" fillId="0" borderId="2" xfId="0" applyFont="1" applyBorder="1" applyAlignment="1">
      <alignment vertical="center"/>
    </xf>
    <xf numFmtId="164" fontId="6" fillId="0" borderId="2" xfId="0" applyNumberFormat="1" applyFont="1" applyBorder="1" applyAlignment="1">
      <alignment horizontal="right" vertical="center"/>
    </xf>
    <xf numFmtId="0" fontId="0" fillId="0" borderId="2" xfId="0" applyBorder="1" applyAlignment="1">
      <alignment vertical="center"/>
    </xf>
    <xf numFmtId="164" fontId="0" fillId="0" borderId="2" xfId="0" applyNumberFormat="1" applyBorder="1" applyAlignment="1">
      <alignment horizontal="right" vertical="center"/>
    </xf>
    <xf numFmtId="0" fontId="6" fillId="2" borderId="3" xfId="0" applyFont="1" applyFill="1" applyBorder="1" applyAlignment="1">
      <alignment vertical="center"/>
    </xf>
    <xf numFmtId="164" fontId="6" fillId="2" borderId="3" xfId="0" applyNumberFormat="1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1"/>
  <sheetViews>
    <sheetView showGridLines="0" tabSelected="1" zoomScaleNormal="100" workbookViewId="0">
      <selection activeCell="A2" sqref="A2"/>
    </sheetView>
  </sheetViews>
  <sheetFormatPr defaultRowHeight="12" x14ac:dyDescent="0.2"/>
  <cols>
    <col min="1" max="1" width="23.42578125" customWidth="1"/>
    <col min="2" max="2" width="12.85546875" customWidth="1"/>
  </cols>
  <sheetData>
    <row r="1" spans="1:2" s="1" customFormat="1" ht="16.7" customHeight="1" x14ac:dyDescent="0.25">
      <c r="A1" s="2" t="s">
        <v>0</v>
      </c>
      <c r="B1" s="2"/>
    </row>
    <row r="2" spans="1:2" s="3" customFormat="1" ht="14.45" customHeight="1" x14ac:dyDescent="0.2">
      <c r="A2" s="17" t="s">
        <v>1</v>
      </c>
      <c r="B2" s="4"/>
    </row>
    <row r="3" spans="1:2" s="3" customFormat="1" ht="14.45" customHeight="1" x14ac:dyDescent="0.2">
      <c r="A3" s="4" t="s">
        <v>2</v>
      </c>
      <c r="B3" s="4"/>
    </row>
    <row r="4" spans="1:2" ht="13.35" customHeight="1" x14ac:dyDescent="0.2"/>
    <row r="5" spans="1:2" s="5" customFormat="1" ht="12.2" customHeight="1" x14ac:dyDescent="0.2">
      <c r="A5" s="6" t="s">
        <v>3</v>
      </c>
      <c r="B5" s="7" t="s">
        <v>4</v>
      </c>
    </row>
    <row r="6" spans="1:2" ht="13.35" customHeight="1" x14ac:dyDescent="0.2"/>
    <row r="7" spans="1:2" s="5" customFormat="1" ht="12.2" customHeight="1" x14ac:dyDescent="0.2">
      <c r="A7" s="8" t="s">
        <v>5</v>
      </c>
      <c r="B7" s="8"/>
    </row>
    <row r="8" spans="1:2" ht="10.9" customHeight="1" x14ac:dyDescent="0.2">
      <c r="A8" s="9" t="s">
        <v>6</v>
      </c>
      <c r="B8" s="10">
        <v>1572472.95</v>
      </c>
    </row>
    <row r="9" spans="1:2" ht="10.9" customHeight="1" x14ac:dyDescent="0.2">
      <c r="A9" s="11" t="s">
        <v>7</v>
      </c>
      <c r="B9" s="12">
        <f>B8</f>
        <v>1572472.95</v>
      </c>
    </row>
    <row r="10" spans="1:2" ht="13.35" customHeight="1" x14ac:dyDescent="0.2"/>
    <row r="11" spans="1:2" s="5" customFormat="1" ht="12.2" customHeight="1" x14ac:dyDescent="0.2">
      <c r="A11" s="8" t="s">
        <v>8</v>
      </c>
      <c r="B11" s="8"/>
    </row>
    <row r="12" spans="1:2" ht="10.9" customHeight="1" x14ac:dyDescent="0.2">
      <c r="A12" s="9" t="s">
        <v>9</v>
      </c>
      <c r="B12" s="10">
        <v>3170</v>
      </c>
    </row>
    <row r="13" spans="1:2" ht="10.9" customHeight="1" x14ac:dyDescent="0.2">
      <c r="A13" s="13" t="s">
        <v>10</v>
      </c>
      <c r="B13" s="14">
        <v>6161.6</v>
      </c>
    </row>
    <row r="14" spans="1:2" ht="10.9" customHeight="1" x14ac:dyDescent="0.2">
      <c r="A14" s="13" t="s">
        <v>11</v>
      </c>
      <c r="B14" s="14">
        <v>61570.7</v>
      </c>
    </row>
    <row r="15" spans="1:2" ht="10.9" customHeight="1" x14ac:dyDescent="0.2">
      <c r="A15" s="13" t="s">
        <v>12</v>
      </c>
      <c r="B15" s="14">
        <v>191080.94</v>
      </c>
    </row>
    <row r="16" spans="1:2" ht="10.9" customHeight="1" x14ac:dyDescent="0.2">
      <c r="A16" s="13" t="s">
        <v>13</v>
      </c>
      <c r="B16" s="14">
        <v>49227.199999999997</v>
      </c>
    </row>
    <row r="17" spans="1:2" ht="10.9" customHeight="1" x14ac:dyDescent="0.2">
      <c r="A17" s="13" t="s">
        <v>14</v>
      </c>
      <c r="B17" s="14">
        <v>162000</v>
      </c>
    </row>
    <row r="18" spans="1:2" ht="10.9" customHeight="1" x14ac:dyDescent="0.2">
      <c r="A18" s="13" t="s">
        <v>15</v>
      </c>
      <c r="B18" s="14">
        <v>97449.96</v>
      </c>
    </row>
    <row r="19" spans="1:2" ht="10.9" customHeight="1" x14ac:dyDescent="0.2">
      <c r="A19" s="13" t="s">
        <v>16</v>
      </c>
      <c r="B19" s="14">
        <v>266312.52</v>
      </c>
    </row>
    <row r="20" spans="1:2" ht="10.9" customHeight="1" x14ac:dyDescent="0.2">
      <c r="A20" s="13" t="s">
        <v>17</v>
      </c>
      <c r="B20" s="14">
        <v>116781.84</v>
      </c>
    </row>
    <row r="21" spans="1:2" ht="10.9" customHeight="1" x14ac:dyDescent="0.2">
      <c r="A21" s="13" t="s">
        <v>18</v>
      </c>
      <c r="B21" s="14">
        <v>81159.39</v>
      </c>
    </row>
    <row r="22" spans="1:2" ht="10.9" customHeight="1" x14ac:dyDescent="0.2">
      <c r="A22" s="13" t="s">
        <v>19</v>
      </c>
      <c r="B22" s="14">
        <v>203563.99</v>
      </c>
    </row>
    <row r="23" spans="1:2" ht="10.9" customHeight="1" x14ac:dyDescent="0.2">
      <c r="A23" s="13" t="s">
        <v>20</v>
      </c>
      <c r="B23" s="14">
        <v>1612.56</v>
      </c>
    </row>
    <row r="24" spans="1:2" ht="10.9" customHeight="1" x14ac:dyDescent="0.2">
      <c r="A24" s="11" t="s">
        <v>21</v>
      </c>
      <c r="B24" s="12">
        <f>SUM(B12:B23)</f>
        <v>1240090.7000000002</v>
      </c>
    </row>
    <row r="25" spans="1:2" ht="13.35" customHeight="1" x14ac:dyDescent="0.2"/>
    <row r="26" spans="1:2" ht="10.9" customHeight="1" x14ac:dyDescent="0.2">
      <c r="A26" s="15" t="s">
        <v>22</v>
      </c>
      <c r="B26" s="16">
        <f>(B9 - B24)</f>
        <v>332382.24999999977</v>
      </c>
    </row>
    <row r="27" spans="1:2" ht="13.35" customHeight="1" x14ac:dyDescent="0.2"/>
    <row r="28" spans="1:2" s="5" customFormat="1" ht="12.2" customHeight="1" x14ac:dyDescent="0.2">
      <c r="A28" s="8" t="s">
        <v>23</v>
      </c>
      <c r="B28" s="8"/>
    </row>
    <row r="29" spans="1:2" ht="10.9" customHeight="1" x14ac:dyDescent="0.2">
      <c r="A29" s="9" t="s">
        <v>24</v>
      </c>
      <c r="B29" s="10">
        <v>2608.56</v>
      </c>
    </row>
    <row r="30" spans="1:2" ht="10.9" customHeight="1" x14ac:dyDescent="0.2">
      <c r="A30" s="11" t="s">
        <v>25</v>
      </c>
      <c r="B30" s="12">
        <f>B29</f>
        <v>2608.56</v>
      </c>
    </row>
    <row r="31" spans="1:2" ht="13.35" customHeight="1" x14ac:dyDescent="0.2"/>
    <row r="32" spans="1:2" s="5" customFormat="1" ht="12.2" customHeight="1" x14ac:dyDescent="0.2">
      <c r="A32" s="8" t="s">
        <v>26</v>
      </c>
      <c r="B32" s="8"/>
    </row>
    <row r="33" spans="1:2" ht="10.9" customHeight="1" x14ac:dyDescent="0.2">
      <c r="A33" s="9" t="s">
        <v>27</v>
      </c>
      <c r="B33" s="10">
        <v>8024.07</v>
      </c>
    </row>
    <row r="34" spans="1:2" ht="10.9" customHeight="1" x14ac:dyDescent="0.2">
      <c r="A34" s="13" t="s">
        <v>28</v>
      </c>
      <c r="B34" s="14">
        <v>3790</v>
      </c>
    </row>
    <row r="35" spans="1:2" ht="10.9" customHeight="1" x14ac:dyDescent="0.2">
      <c r="A35" s="13" t="s">
        <v>29</v>
      </c>
      <c r="B35" s="14">
        <v>8094.13</v>
      </c>
    </row>
    <row r="36" spans="1:2" ht="10.9" customHeight="1" x14ac:dyDescent="0.2">
      <c r="A36" s="13" t="s">
        <v>30</v>
      </c>
      <c r="B36" s="14">
        <v>3234.36</v>
      </c>
    </row>
    <row r="37" spans="1:2" ht="10.9" customHeight="1" x14ac:dyDescent="0.2">
      <c r="A37" s="13" t="s">
        <v>31</v>
      </c>
      <c r="B37" s="14">
        <v>427.6</v>
      </c>
    </row>
    <row r="38" spans="1:2" ht="10.9" customHeight="1" x14ac:dyDescent="0.2">
      <c r="A38" s="13" t="s">
        <v>32</v>
      </c>
      <c r="B38" s="14">
        <v>1034.78</v>
      </c>
    </row>
    <row r="39" spans="1:2" ht="10.9" customHeight="1" x14ac:dyDescent="0.2">
      <c r="A39" s="13" t="s">
        <v>33</v>
      </c>
      <c r="B39" s="14">
        <v>911.83</v>
      </c>
    </row>
    <row r="40" spans="1:2" ht="10.9" customHeight="1" x14ac:dyDescent="0.2">
      <c r="A40" s="13" t="s">
        <v>34</v>
      </c>
      <c r="B40" s="14">
        <v>110.65</v>
      </c>
    </row>
    <row r="41" spans="1:2" ht="10.9" customHeight="1" x14ac:dyDescent="0.2">
      <c r="A41" s="13" t="s">
        <v>35</v>
      </c>
      <c r="B41" s="14">
        <v>127.25</v>
      </c>
    </row>
    <row r="42" spans="1:2" ht="10.9" customHeight="1" x14ac:dyDescent="0.2">
      <c r="A42" s="13" t="s">
        <v>36</v>
      </c>
      <c r="B42" s="14">
        <v>12588.09</v>
      </c>
    </row>
    <row r="43" spans="1:2" ht="10.9" customHeight="1" x14ac:dyDescent="0.2">
      <c r="A43" s="13" t="s">
        <v>37</v>
      </c>
      <c r="B43" s="14">
        <v>1736.22</v>
      </c>
    </row>
    <row r="44" spans="1:2" ht="10.9" customHeight="1" x14ac:dyDescent="0.2">
      <c r="A44" s="13" t="s">
        <v>38</v>
      </c>
      <c r="B44" s="14">
        <v>4715.41</v>
      </c>
    </row>
    <row r="45" spans="1:2" ht="10.9" customHeight="1" x14ac:dyDescent="0.2">
      <c r="A45" s="13" t="s">
        <v>39</v>
      </c>
      <c r="B45" s="14">
        <v>128.74</v>
      </c>
    </row>
    <row r="46" spans="1:2" ht="10.9" customHeight="1" x14ac:dyDescent="0.2">
      <c r="A46" s="13" t="s">
        <v>40</v>
      </c>
      <c r="B46" s="14">
        <v>384.42</v>
      </c>
    </row>
    <row r="47" spans="1:2" ht="10.9" customHeight="1" x14ac:dyDescent="0.2">
      <c r="A47" s="13" t="s">
        <v>41</v>
      </c>
      <c r="B47" s="14">
        <v>37882.58</v>
      </c>
    </row>
    <row r="48" spans="1:2" ht="10.9" customHeight="1" x14ac:dyDescent="0.2">
      <c r="A48" s="13" t="s">
        <v>42</v>
      </c>
      <c r="B48" s="14">
        <v>683.98</v>
      </c>
    </row>
    <row r="49" spans="1:2" ht="10.9" customHeight="1" x14ac:dyDescent="0.2">
      <c r="A49" s="13" t="s">
        <v>43</v>
      </c>
      <c r="B49" s="14">
        <v>319.3</v>
      </c>
    </row>
    <row r="50" spans="1:2" ht="10.9" customHeight="1" x14ac:dyDescent="0.2">
      <c r="A50" s="13" t="s">
        <v>44</v>
      </c>
      <c r="B50" s="14">
        <v>120.74</v>
      </c>
    </row>
    <row r="51" spans="1:2" ht="10.9" customHeight="1" x14ac:dyDescent="0.2">
      <c r="A51" s="13" t="s">
        <v>45</v>
      </c>
      <c r="B51" s="14">
        <v>433.44</v>
      </c>
    </row>
    <row r="52" spans="1:2" ht="10.9" customHeight="1" x14ac:dyDescent="0.2">
      <c r="A52" s="13" t="s">
        <v>46</v>
      </c>
      <c r="B52" s="14">
        <v>318603.45</v>
      </c>
    </row>
    <row r="53" spans="1:2" ht="10.9" customHeight="1" x14ac:dyDescent="0.2">
      <c r="A53" s="13" t="s">
        <v>47</v>
      </c>
      <c r="B53" s="14">
        <v>2170.9</v>
      </c>
    </row>
    <row r="54" spans="1:2" ht="10.9" customHeight="1" x14ac:dyDescent="0.2">
      <c r="A54" s="13" t="s">
        <v>48</v>
      </c>
      <c r="B54" s="14">
        <v>5978.25</v>
      </c>
    </row>
    <row r="55" spans="1:2" ht="10.9" customHeight="1" x14ac:dyDescent="0.2">
      <c r="A55" s="13" t="s">
        <v>49</v>
      </c>
      <c r="B55" s="14">
        <v>10811.92</v>
      </c>
    </row>
    <row r="56" spans="1:2" ht="10.9" customHeight="1" x14ac:dyDescent="0.2">
      <c r="A56" s="13" t="s">
        <v>50</v>
      </c>
      <c r="B56" s="14">
        <v>4519.67</v>
      </c>
    </row>
    <row r="57" spans="1:2" ht="10.9" customHeight="1" x14ac:dyDescent="0.2">
      <c r="A57" s="13" t="s">
        <v>51</v>
      </c>
      <c r="B57" s="14">
        <v>2394.81</v>
      </c>
    </row>
    <row r="58" spans="1:2" ht="10.9" customHeight="1" x14ac:dyDescent="0.2">
      <c r="A58" s="13" t="s">
        <v>52</v>
      </c>
      <c r="B58" s="14">
        <v>38.26</v>
      </c>
    </row>
    <row r="59" spans="1:2" ht="10.9" customHeight="1" x14ac:dyDescent="0.2">
      <c r="A59" s="11" t="s">
        <v>53</v>
      </c>
      <c r="B59" s="12">
        <f>SUM(B33:B58)</f>
        <v>429264.85000000003</v>
      </c>
    </row>
    <row r="60" spans="1:2" ht="13.35" customHeight="1" x14ac:dyDescent="0.2"/>
    <row r="61" spans="1:2" ht="10.9" customHeight="1" x14ac:dyDescent="0.2">
      <c r="A61" s="15" t="s">
        <v>54</v>
      </c>
      <c r="B61" s="16">
        <f>((B26 + B30) - B59)</f>
        <v>-94274.04000000027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 and Loss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Paul Davis</cp:lastModifiedBy>
  <dcterms:modified xsi:type="dcterms:W3CDTF">2026-05-27T22:08:25Z</dcterms:modified>
</cp:coreProperties>
</file>