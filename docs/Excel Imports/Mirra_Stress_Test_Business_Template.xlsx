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Business" sheetId="2" state="visible" r:id="rId4"/>
    <sheet name="Staff" sheetId="3" state="visible" r:id="rId5"/>
    <sheet name="Charge_Out" sheetId="4" state="visible" r:id="rId6"/>
    <sheet name="Assets" sheetId="5" state="visible" r:id="rId7"/>
    <sheet name="Groups" sheetId="6" state="visible" r:id="rId8"/>
    <sheet name="Labour_Assign" sheetId="7" state="visible" r:id="rId9"/>
    <sheet name="Asset_Assign" sheetId="8" state="visible" r:id="rId10"/>
    <sheet name="Rate_Builder" sheetId="9" state="visible" r:id="rId11"/>
    <sheet name="PnL" sheetId="10" state="visible" r:id="rId12"/>
    <sheet name="Checks" sheetId="11" state="visible" r:id="rId13"/>
    <sheet name="Lists" sheetId="12" state="visible" r:id="rId1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<sst xmlns="http://schemas.openxmlformats.org/spreadsheetml/2006/main" count="622" uniqueCount="391">
  <si>
    <t xml:space="preserve">Mirra stress test - synthetic business template</t>
  </si>
  <si>
    <t xml:space="preserve">One workbook = one business shape. The generator script reads it, writes the localStorage seed, and an independent script computes the expected values.</t>
  </si>
  <si>
    <t xml:space="preserve">HOW TO FILL IT IN</t>
  </si>
  <si>
    <t xml:space="preserve">Yellow cells, blue text</t>
  </si>
  <si>
    <t xml:space="preserve">Your inputs. Change these.</t>
  </si>
  <si>
    <t xml:space="preserve">Grey cells</t>
  </si>
  <si>
    <t xml:space="preserve">Formulas or checks. Do not type over them.</t>
  </si>
  <si>
    <t xml:space="preserve">Shows the expected format. The generator skips any row whose Ref is EXAMPLE.</t>
  </si>
  <si>
    <t xml:space="preserve">Blue text on white</t>
  </si>
  <si>
    <t xml:space="preserve">Fixed values copied from the app's defaults. Change only if the business differs.</t>
  </si>
  <si>
    <t xml:space="preserve">CONVENTIONS</t>
  </si>
  <si>
    <t xml:space="preserve">Percent fields</t>
  </si>
  <si>
    <t xml:space="preserve">Enter whole numbers (85 = 85%), not fractions. This matches how the app stores them (productivity_percent, assignment_percent, interest_rate, ACC rate).</t>
  </si>
  <si>
    <t xml:space="preserve">Money</t>
  </si>
  <si>
    <t xml:space="preserve">NZD, excluding GST. Rates are per hour unless the column says otherwise.</t>
  </si>
  <si>
    <t xml:space="preserve">No names</t>
  </si>
  <si>
    <t xml:space="preserve">Staff are identified only by staff type and a row Ref. Assets and groups get a generic label.</t>
  </si>
  <si>
    <t xml:space="preserve">Headcount (Staff) / Count (Assets)</t>
  </si>
  <si>
    <t xml:space="preserve">How many identical copies of the row the generator creates. Use more rows for different rates within one staff type.</t>
  </si>
  <si>
    <t xml:space="preserve">Ref columns</t>
  </si>
  <si>
    <t xml:space="preserve">Short IDs (S01, A01, G01, C01) that link the sheets. Keep them unique.</t>
  </si>
  <si>
    <t xml:space="preserve">SHEETS</t>
  </si>
  <si>
    <t xml:space="preserve">Business</t>
  </si>
  <si>
    <t xml:space="preserve">Mode, year, materials markup, non-productive policy, owner labour treatment (open question Q-1), opening hours.</t>
  </si>
  <si>
    <t xml:space="preserve">Staff</t>
  </si>
  <si>
    <t xml:space="preserve">One row per staff type and rate band. Feeds qs_tools_labour_profiles_v1.</t>
  </si>
  <si>
    <t xml:space="preserve">Charge_Out</t>
  </si>
  <si>
    <t xml:space="preserve">Charge-out rate per staff type. Feeds qstools_rate_builder_labour_source_rates_v1 (rates live per staff type, not per person).</t>
  </si>
  <si>
    <t xml:space="preserve">Assets</t>
  </si>
  <si>
    <t xml:space="preserve">One row per asset (Count clones it). Feeds qs_tools_saved_assets.</t>
  </si>
  <si>
    <t xml:space="preserve">Groups</t>
  </si>
  <si>
    <t xml:space="preserve">Working groups. Feeds qs_tools_cost_allocation_v2_1 operational_groups.</t>
  </si>
  <si>
    <t xml:space="preserve">Labour_Assign</t>
  </si>
  <si>
    <t xml:space="preserve">Percent of each staff TYPE's whole pool assigned to a group (the app pools staff by type, register H1). Whole numbers; the app rounds to integers (H2).</t>
  </si>
  <si>
    <t xml:space="preserve">Asset_Assign</t>
  </si>
  <si>
    <t xml:space="preserve">Which assets sit in which group, and at what percent.</t>
  </si>
  <si>
    <t xml:space="preserve">Rate_Builder</t>
  </si>
  <si>
    <t xml:space="preserve">Calculator lines. A line linked to an asset makes a per-asset calculator (Path B).</t>
  </si>
  <si>
    <t xml:space="preserve">PnL</t>
  </si>
  <si>
    <t xml:space="preserve">Revenue, direct costs and overheads. Labour lines (wages, KiwiSaver, ACC) and asset interest are DERIVED by the generator from Staff and Assets, bottom-up (stress brief 3.1).</t>
  </si>
  <si>
    <t xml:space="preserve">Checks</t>
  </si>
  <si>
    <t xml:space="preserve">Totals and red flags. Every flag should read OK before the template is used.</t>
  </si>
  <si>
    <t xml:space="preserve">Lists</t>
  </si>
  <si>
    <t xml:space="preserve">Dropdown values. Do not edit.</t>
  </si>
  <si>
    <t xml:space="preserve">SCALING</t>
  </si>
  <si>
    <t xml:space="preserve">Scale ladder</t>
  </si>
  <si>
    <t xml:space="preserve">Keep this file as the base shape. The generator multiplies Headcount and Count by the ladder factor (10, 100, 1,000+ staff) without changing the shape (stress brief 3.3).</t>
  </si>
  <si>
    <t xml:space="preserve">SOURCE</t>
  </si>
  <si>
    <t xml:space="preserve">Field names and allowed values are taken from lib/storage/*.js and the :3004 localStorage dump of 2026-10-17. See STORAGE_KEY_REGISTER_S0_2026-10-17.txt.</t>
  </si>
  <si>
    <t xml:space="preserve">Business settings</t>
  </si>
  <si>
    <t xml:space="preserve">Feeds qs_tools_business_setup_v1, qs_tools_revenue_cogs_state_v2, materials markup, non-productive policy, opening hours.</t>
  </si>
  <si>
    <t xml:space="preserve">Setting</t>
  </si>
  <si>
    <t xml:space="preserve">Value</t>
  </si>
  <si>
    <t xml:space="preserve">Stored as / notes</t>
  </si>
  <si>
    <t xml:space="preserve">Business label (generic)</t>
  </si>
  <si>
    <t xml:space="preserve">Stress Test Scenario A</t>
  </si>
  <si>
    <t xml:space="preserve">business_name. Generic label, no real name.</t>
  </si>
  <si>
    <t xml:space="preserve">Business type</t>
  </si>
  <si>
    <t xml:space="preserve">labour_based</t>
  </si>
  <si>
    <t xml:space="preserve">business_type. Hours mode for R2. Units mode is R4.</t>
  </si>
  <si>
    <t xml:space="preserve">Commercial driver mode</t>
  </si>
  <si>
    <t xml:space="preserve">hours_based</t>
  </si>
  <si>
    <t xml:space="preserve">commercial_driver_mode in Revenue/COGS.</t>
  </si>
  <si>
    <t xml:space="preserve">Financial year</t>
  </si>
  <si>
    <t xml:space="preserve">2026</t>
  </si>
  <si>
    <t xml:space="preserve">financial_year on the P&amp;L (text).</t>
  </si>
  <si>
    <t xml:space="preserve">Materials markup (%)</t>
  </si>
  <si>
    <t xml:space="preserve">qstools_rate_builder_materials_markup_v1. Whole number, e.g. 20.</t>
  </si>
  <si>
    <t xml:space="preserve">Non-productive policy (mixed units)</t>
  </si>
  <si>
    <t xml:space="preserve">charge_to_self</t>
  </si>
  <si>
    <t xml:space="preserve">qstools_business_outcome_non_productive_policy_v1. Default charge_to_self.</t>
  </si>
  <si>
    <t xml:space="preserve">Owner labour treatment</t>
  </si>
  <si>
    <t xml:space="preserve">OPEN QUESTION Q-1. Wages in the P&amp;L, or drawings (not in the P&amp;L). Decides whether the owner row in Staff adds to the P&amp;L labour lines.</t>
  </si>
  <si>
    <t xml:space="preserve">Opening hours (mirra_opening_hours_state_v4)</t>
  </si>
  <si>
    <t xml:space="preserve">Day</t>
  </si>
  <si>
    <t xml:space="preserve">Open (Y/N)</t>
  </si>
  <si>
    <t xml:space="preserve">Open time (hh:mm)</t>
  </si>
  <si>
    <t xml:space="preserve">Close time (hh:mm)</t>
  </si>
  <si>
    <t xml:space="preserve">Break (minutes)</t>
  </si>
  <si>
    <t xml:space="preserve">Open hours (check)</t>
  </si>
  <si>
    <t xml:space="preserve">Monday</t>
  </si>
  <si>
    <t xml:space="preserve">Y</t>
  </si>
  <si>
    <t xml:space="preserve">08:00</t>
  </si>
  <si>
    <t xml:space="preserve">17:00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</si>
  <si>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</si>
  <si>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</si>
  <si>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</si>
  <si>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</si>
  <si>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</si>
  <si>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N</t>
  </si>
  <si>
    <t xml:space="preserve">Sunday</t>
  </si>
  <si>
    <t xml:space="preserve">Open hours per week</t>
  </si>
  <si>
    <t xml:space="preserve">Seasonal shutdown (weeks)</t>
  </si>
  <si>
    <t xml:space="preserve">seasonal_shutdown_weeks</t>
  </si>
  <si>
    <t xml:space="preserve">Public holiday days (closed)</t>
  </si>
  <si>
    <t xml:space="preserve">public_holiday_days on the opening hours record (baseline 0; staff carry their own 12)</t>
  </si>
  <si>
    <t xml:space="preserve">Staff (one row per staff type and rate band)</t>
  </si>
  <si>
    <t xml:space="preserve">No names. Headcount = identical copies. Feeds qs_tools_labour_profiles_v1 (data block). Defaults are the app's DEFAULT_LABOUR_STATE.</t>
  </si>
  <si>
    <t xml:space="preserve">Ref</t>
  </si>
  <si>
    <t xml:space="preserve">staff_type_id</t>
  </si>
  <si>
    <t xml:space="preserve">Staff type (label)</t>
  </si>
  <si>
    <t xml:space="preserve">Headcount</t>
  </si>
  <si>
    <t xml:space="preserve">labour_class</t>
  </si>
  <si>
    <t xml:space="preserve">Contributes to recovery hours (Y/N)</t>
  </si>
  <si>
    <t xml:space="preserve">Hours per week</t>
  </si>
  <si>
    <t xml:space="preserve">Days per week</t>
  </si>
  <si>
    <t xml:space="preserve">Labour rate ($/hr)</t>
  </si>
  <si>
    <t xml:space="preserve">Productivity (%)</t>
  </si>
  <si>
    <t xml:space="preserve">Annual leave (weeks)</t>
  </si>
  <si>
    <t xml:space="preserve">Public holidays (days)</t>
  </si>
  <si>
    <t xml:space="preserve">Sick (days)</t>
  </si>
  <si>
    <t xml:space="preserve">Bereavement (days)</t>
  </si>
  <si>
    <t xml:space="preserve">Family violence (days)</t>
  </si>
  <si>
    <t xml:space="preserve">KiwiSaver employer (Y/N)</t>
  </si>
  <si>
    <t xml:space="preserve">ACC enabled (Y/N)</t>
  </si>
  <si>
    <t xml:space="preserve">ACC rate (%)</t>
  </si>
  <si>
    <t xml:space="preserve">Base wages per person ($/yr, check)</t>
  </si>
  <si>
    <t xml:space="preserve">Base wages for row ($/yr, check)</t>
  </si>
  <si>
    <t xml:space="preserve">Notes</t>
  </si>
  <si>
    <t xml:space="preserve">EXAMPLE</t>
  </si>
  <si>
    <t xml:space="preserve">operator_delivery_staff</t>
  </si>
  <si>
    <t xml:space="preserve">Operator / Delivery Staff</t>
  </si>
  <si>
    <t xml:space="preserve">productive</t>
  </si>
  <si>
    <t xml:space="preserve">Example only - skipped by the generator</t>
  </si>
  <si>
    <t xml:space="preserve">S01</t>
  </si>
  <si>
    <t xml:space="preserve">Scenario A: 7 productive</t>
  </si>
  <si>
    <t xml:space="preserve">S02</t>
  </si>
  <si>
    <t xml:space="preserve">senior_operator_staff</t>
  </si>
  <si>
    <t xml:space="preserve">S03</t>
  </si>
  <si>
    <t xml:space="preserve">supervisor_team_lead</t>
  </si>
  <si>
    <t xml:space="preserve">S04</t>
  </si>
  <si>
    <t xml:space="preserve">owner_director</t>
  </si>
  <si>
    <t xml:space="preserve">non_productive</t>
  </si>
  <si>
    <t xml:space="preserve">See Owner labour treatment on Business</t>
  </si>
  <si>
    <t xml:space="preserve">S05</t>
  </si>
  <si>
    <t xml:space="preserve">admin_support</t>
  </si>
  <si>
    <t xml:space="preserve">Scenario A: 3 non-productive</t>
  </si>
  <si>
    <t xml:space="preserve">S06</t>
  </si>
  <si>
    <t xml:space="preserve">finance_accounts</t>
  </si>
  <si>
    <t xml:space="preserve">S07</t>
  </si>
  <si>
    <t xml:space="preserve">S08</t>
  </si>
  <si>
    <t xml:space="preserve">S09</t>
  </si>
  <si>
    <t xml:space="preserve">S10</t>
  </si>
  <si>
    <t xml:space="preserve">S11</t>
  </si>
  <si>
    <t xml:space="preserve">S12</t>
  </si>
  <si>
    <t xml:space="preserve">S13</t>
  </si>
  <si>
    <t xml:space="preserve">S14</t>
  </si>
  <si>
    <t xml:space="preserve">S15</t>
  </si>
  <si>
    <t xml:space="preserve">S16</t>
  </si>
  <si>
    <t xml:space="preserve">S17</t>
  </si>
  <si>
    <t xml:space="preserve">S18</t>
  </si>
  <si>
    <t xml:space="preserve">S19</t>
  </si>
  <si>
    <t xml:space="preserve">S20</t>
  </si>
  <si>
    <t xml:space="preserve">S21</t>
  </si>
  <si>
    <t xml:space="preserve">S22</t>
  </si>
  <si>
    <t xml:space="preserve">S23</t>
  </si>
  <si>
    <t xml:space="preserve">S24</t>
  </si>
  <si>
    <t xml:space="preserve">S25</t>
  </si>
  <si>
    <t xml:space="preserve">Totals</t>
  </si>
  <si>
    <t xml:space="preserve">The wage check is hours x 52 x rate only. Leave, KiwiSaver, ACC and productivity are applied by the app and by the expected-value script, not here.</t>
  </si>
  <si>
    <t xml:space="preserve">Custom staff types: add the id in column B (e.g. custom_crew_a). The generator also writes it to qs_tools_labour_staff_types_v1. Not used in Scenario A (strategy: few system types, percent splits).</t>
  </si>
  <si>
    <t xml:space="preserve">Charge-out rate per staff type</t>
  </si>
  <si>
    <t xml:space="preserve">Rates live per staff type in qstools_rate_builder_labour_source_rates_v1. Only types used on Staff need a rate.</t>
  </si>
  <si>
    <t xml:space="preserve">Staff type</t>
  </si>
  <si>
    <t xml:space="preserve">Charge-out rate ($/hr)</t>
  </si>
  <si>
    <t xml:space="preserve">Productive headcount on Staff (check)</t>
  </si>
  <si>
    <t xml:space="preserve">Total headcount on Staff (check)</t>
  </si>
  <si>
    <t xml:space="preserve">Flag</t>
  </si>
  <si>
    <t xml:space="preserve">Owner / Director</t>
  </si>
  <si>
    <t xml:space="preserve">manager</t>
  </si>
  <si>
    <t xml:space="preserve">Manager</t>
  </si>
  <si>
    <t xml:space="preserve">Supervisor / Team Lead</t>
  </si>
  <si>
    <t xml:space="preserve">Senior Operator / Senior Staff</t>
  </si>
  <si>
    <t xml:space="preserve">junior_trainee</t>
  </si>
  <si>
    <t xml:space="preserve">Junior / Trainee</t>
  </si>
  <si>
    <t xml:space="preserve">Administration / Support</t>
  </si>
  <si>
    <t xml:space="preserve">sales_customer_support</t>
  </si>
  <si>
    <t xml:space="preserve">Sales / Customer Support</t>
  </si>
  <si>
    <t xml:space="preserve">Finance / Accounts</t>
  </si>
  <si>
    <t xml:space="preserve">other_review_required</t>
  </si>
  <si>
    <t xml:space="preserve">Other / Review required</t>
  </si>
  <si>
    <t xml:space="preserve">Assets (one row per asset; Count clones it)</t>
  </si>
  <si>
    <t xml:space="preserve">Feeds qs_tools_saved_assets. Only inputs here - the app recomputes finance and cost fields on read. Generic labels only.</t>
  </si>
  <si>
    <t xml:space="preserve">Label (generic)</t>
  </si>
  <si>
    <t xml:space="preserve">Count</t>
  </si>
  <si>
    <t xml:space="preserve">asset_type</t>
  </si>
  <si>
    <t xml:space="preserve">Utilisation hours per week</t>
  </si>
  <si>
    <t xml:space="preserve">Downtime hours per week</t>
  </si>
  <si>
    <t xml:space="preserve">Annual weeks</t>
  </si>
  <si>
    <t xml:space="preserve">Purchase price ($)</t>
  </si>
  <si>
    <t xml:space="preserve">Interest rate (%)</t>
  </si>
  <si>
    <t xml:space="preserve">Finance start date (yyyy-mm-dd)</t>
  </si>
  <si>
    <t xml:space="preserve">Finance term (years)</t>
  </si>
  <si>
    <t xml:space="preserve">Finance paid off (Y/N)</t>
  </si>
  <si>
    <t xml:space="preserve">Maintenance ($/month)</t>
  </si>
  <si>
    <t xml:space="preserve">Fuel ($/month)</t>
  </si>
  <si>
    <t xml:space="preserve">Registration ($/month)</t>
  </si>
  <si>
    <t xml:space="preserve">Other running ($/month)</t>
  </si>
  <si>
    <t xml:space="preserve">Include depreciation in cost (Y/N)</t>
  </si>
  <si>
    <t xml:space="preserve">Estimated annual depreciation ($)</t>
  </si>
  <si>
    <t xml:space="preserve">Annual hours (check)</t>
  </si>
  <si>
    <t xml:space="preserve">Running cost $/yr (check)</t>
  </si>
  <si>
    <t xml:space="preserve">Productive asset (example)</t>
  </si>
  <si>
    <t xml:space="preserve">2026-10-02</t>
  </si>
  <si>
    <t xml:space="preserve">Example only - skipped</t>
  </si>
  <si>
    <t xml:space="preserve">A01</t>
  </si>
  <si>
    <t xml:space="preserve">Productive asset 1</t>
  </si>
  <si>
    <t xml:space="preserve">Scenario A: 4 productive</t>
  </si>
  <si>
    <t xml:space="preserve">A02</t>
  </si>
  <si>
    <t xml:space="preserve">Productive asset 2</t>
  </si>
  <si>
    <t xml:space="preserve">A03</t>
  </si>
  <si>
    <t xml:space="preserve">Productive asset 3</t>
  </si>
  <si>
    <t xml:space="preserve">A04</t>
  </si>
  <si>
    <t xml:space="preserve">Productive asset 4</t>
  </si>
  <si>
    <t xml:space="preserve">A05</t>
  </si>
  <si>
    <t xml:space="preserve">Support asset 1</t>
  </si>
  <si>
    <t xml:space="preserve">support</t>
  </si>
  <si>
    <t xml:space="preserve">Scenario A: 3 support (non-productive)</t>
  </si>
  <si>
    <t xml:space="preserve">A06</t>
  </si>
  <si>
    <t xml:space="preserve">Support asset 2</t>
  </si>
  <si>
    <t xml:space="preserve">A07</t>
  </si>
  <si>
    <t xml:space="preserve">Support asset 3</t>
  </si>
  <si>
    <t xml:space="preserve">A08</t>
  </si>
  <si>
    <t xml:space="preserve">A09</t>
  </si>
  <si>
    <t xml:space="preserve">A10</t>
  </si>
  <si>
    <t xml:space="preserve">A11</t>
  </si>
  <si>
    <t xml:space="preserve">A12</t>
  </si>
  <si>
    <t xml:space="preserve">A13</t>
  </si>
  <si>
    <t xml:space="preserve">A14</t>
  </si>
  <si>
    <t xml:space="preserve">A15</t>
  </si>
  <si>
    <t xml:space="preserve">A16</t>
  </si>
  <si>
    <t xml:space="preserve">A17</t>
  </si>
  <si>
    <t xml:space="preserve">A18</t>
  </si>
  <si>
    <t xml:space="preserve">A19</t>
  </si>
  <si>
    <t xml:space="preserve">A20</t>
  </si>
  <si>
    <t xml:space="preserve">Annual weeks 48 is the app default (ASSET_UTILISATION_WEEKS_PER_YEAR). Running cost check is the monthly costs x 12. Asset overhead pool assignments default to 0 (not in this template).</t>
  </si>
  <si>
    <t xml:space="preserve">Working groups</t>
  </si>
  <si>
    <t xml:space="preserve">Feeds operational_groups in qs_tools_cost_allocation_v2_1. Division is Main Operations for every group unless you add more.</t>
  </si>
  <si>
    <t xml:space="preserve">Group label (generic)</t>
  </si>
  <si>
    <t xml:space="preserve">Recovery hour source</t>
  </si>
  <si>
    <t xml:space="preserve">Asset run pattern</t>
  </si>
  <si>
    <t xml:space="preserve">Labour tied to asset (Y/N)</t>
  </si>
  <si>
    <t xml:space="preserve">Labour rows assigned (check)</t>
  </si>
  <si>
    <t xml:space="preserve">Assets assigned (check)</t>
  </si>
  <si>
    <t xml:space="preserve">Excavator unit</t>
  </si>
  <si>
    <t xml:space="preserve">asset_hours</t>
  </si>
  <si>
    <t xml:space="preserve">together</t>
  </si>
  <si>
    <t xml:space="preserve">G01</t>
  </si>
  <si>
    <t xml:space="preserve">Asset unit 1</t>
  </si>
  <si>
    <t xml:space="preserve">Assets A01-A02 with operators</t>
  </si>
  <si>
    <t xml:space="preserve">G02</t>
  </si>
  <si>
    <t xml:space="preserve">Asset unit 2</t>
  </si>
  <si>
    <t xml:space="preserve">Assets A03-A04</t>
  </si>
  <si>
    <t xml:space="preserve">G03</t>
  </si>
  <si>
    <t xml:space="preserve">Labour crew</t>
  </si>
  <si>
    <t xml:space="preserve">labour_hours</t>
  </si>
  <si>
    <t xml:space="preserve">Labour-only work</t>
  </si>
  <si>
    <t xml:space="preserve">G04</t>
  </si>
  <si>
    <t xml:space="preserve">Office and support</t>
  </si>
  <si>
    <t xml:space="preserve">Non-productive staff</t>
  </si>
  <si>
    <t xml:space="preserve">G05</t>
  </si>
  <si>
    <t xml:space="preserve">G06</t>
  </si>
  <si>
    <t xml:space="preserve">G07</t>
  </si>
  <si>
    <t xml:space="preserve">G08</t>
  </si>
  <si>
    <t xml:space="preserve">G09</t>
  </si>
  <si>
    <t xml:space="preserve">G10</t>
  </si>
  <si>
    <t xml:space="preserve">Asset run pattern: together = assets run at the same time (required hours = MAX); sequential = one after another (SUM). Stored as "" or "sequential".</t>
  </si>
  <si>
    <t xml:space="preserve">Labour assignment - percent of each staff TYPE's pool per group</t>
  </si>
  <si>
    <t xml:space="preserve">The app pools every person of a type, then assigns a percent of that pool (register H1). Whole numbers only (H2).</t>
  </si>
  <si>
    <t xml:space="preserve">Group Ref</t>
  </si>
  <si>
    <t xml:space="preserve">Assignment (%)</t>
  </si>
  <si>
    <t xml:space="preserve">Group label (check)</t>
  </si>
  <si>
    <t xml:space="preserve">Type total % across groups (check)</t>
  </si>
  <si>
    <t xml:space="preserve">Asset assignment</t>
  </si>
  <si>
    <t xml:space="preserve">asset_group_assignments. One row per asset (or per clone set, matched on Ref) per group.</t>
  </si>
  <si>
    <t xml:space="preserve">Asset Ref</t>
  </si>
  <si>
    <t xml:space="preserve">Asset total % across groups (check)</t>
  </si>
  <si>
    <t xml:space="preserve">Rate Builder calculators (one row per line)</t>
  </si>
  <si>
    <t xml:space="preserve">qs_tools_rate_builder_calculators_v1. Rows with the same Calculator Ref form one calculator. A linked Asset Ref makes it per-asset (Path B).</t>
  </si>
  <si>
    <t xml:space="preserve">Calculator Ref</t>
  </si>
  <si>
    <t xml:space="preserve">Linked Group Ref</t>
  </si>
  <si>
    <t xml:space="preserve">Linked Asset Ref (blank = group calculator)</t>
  </si>
  <si>
    <t xml:space="preserve">Line label</t>
  </si>
  <si>
    <t xml:space="preserve">Unit</t>
  </si>
  <si>
    <t xml:space="preserve">Rate ($)</t>
  </si>
  <si>
    <t xml:space="preserve">Quantity</t>
  </si>
  <si>
    <t xml:space="preserve">Output driver (Y/N)</t>
  </si>
  <si>
    <t xml:space="preserve">Line value (check)</t>
  </si>
  <si>
    <t xml:space="preserve">Machine hire</t>
  </si>
  <si>
    <t xml:space="preserve">hr</t>
  </si>
  <si>
    <t xml:space="preserve">C01</t>
  </si>
  <si>
    <t xml:space="preserve">C02</t>
  </si>
  <si>
    <t xml:space="preserve">C03</t>
  </si>
  <si>
    <t xml:space="preserve">C04</t>
  </si>
  <si>
    <t xml:space="preserve">Machine calculators price the MACHINE only (Stage 1b). Labour is charged from Charge_Out, not from these lines.</t>
  </si>
  <si>
    <t xml:space="preserve">P&amp;L inputs (annual, excl GST)</t>
  </si>
  <si>
    <t xml:space="preserve">qs_tools_profit_and_loss_state. Labour lines and asset interest are DERIVED by the generator from Staff and Assets - do not enter them here.</t>
  </si>
  <si>
    <t xml:space="preserve">Section</t>
  </si>
  <si>
    <t xml:space="preserve">Category</t>
  </si>
  <si>
    <t xml:space="preserve">Sub-category / direct cost category</t>
  </si>
  <si>
    <t xml:space="preserve">Amount ($/yr)</t>
  </si>
  <si>
    <t xml:space="preserve">operating_expenses</t>
  </si>
  <si>
    <t xml:space="preserve">general_overheads</t>
  </si>
  <si>
    <t xml:space="preserve">facilities_premises</t>
  </si>
  <si>
    <t xml:space="preserve">Sales</t>
  </si>
  <si>
    <t xml:space="preserve">trading_income</t>
  </si>
  <si>
    <t xml:space="preserve">revenue</t>
  </si>
  <si>
    <t xml:space="preserve">Revenue. Drives the P&amp;L reconciliation.</t>
  </si>
  <si>
    <t xml:space="preserve">Materials</t>
  </si>
  <si>
    <t xml:space="preserve">cost_of_sales</t>
  </si>
  <si>
    <t xml:space="preserve">cogs</t>
  </si>
  <si>
    <t xml:space="preserve">materials</t>
  </si>
  <si>
    <t xml:space="preserve">Direct cost</t>
  </si>
  <si>
    <t xml:space="preserve">Rent</t>
  </si>
  <si>
    <t xml:space="preserve">Insurance</t>
  </si>
  <si>
    <t xml:space="preserve">insurance_compliance</t>
  </si>
  <si>
    <t xml:space="preserve">Accounting fees</t>
  </si>
  <si>
    <t xml:space="preserve">finance_admin</t>
  </si>
  <si>
    <t xml:space="preserve">Software subscriptions</t>
  </si>
  <si>
    <t xml:space="preserve">office_admin</t>
  </si>
  <si>
    <t xml:space="preserve">Phone and internet</t>
  </si>
  <si>
    <t xml:space="preserve">Marketing</t>
  </si>
  <si>
    <t xml:space="preserve">sales_growth</t>
  </si>
  <si>
    <t xml:space="preserve">Staff expenses</t>
  </si>
  <si>
    <t xml:space="preserve">staff_overheads</t>
  </si>
  <si>
    <t xml:space="preserve">Vehicle fuel</t>
  </si>
  <si>
    <t xml:space="preserve">vehicle_running_costs</t>
  </si>
  <si>
    <t xml:space="preserve">Avoid the words 'asset finance' in labels (S1 trap)</t>
  </si>
  <si>
    <t xml:space="preserve">Revenue</t>
  </si>
  <si>
    <t xml:space="preserve">Direct costs (COGS)</t>
  </si>
  <si>
    <t xml:space="preserve">General overheads entered</t>
  </si>
  <si>
    <t xml:space="preserve">Base wages from Staff (check only - the generator adds leave, KiwiSaver and ACC)</t>
  </si>
  <si>
    <t xml:space="preserve">Rough margin before labour on-costs and asset finance (check)</t>
  </si>
  <si>
    <t xml:space="preserve">Sub-category values for overheads come from the app's P&amp;L review list; the generator maps each to the matching General Overheads category.</t>
  </si>
  <si>
    <t xml:space="preserve">Every flag should read OK before the template is handed to the generator.</t>
  </si>
  <si>
    <t xml:space="preserve">Check</t>
  </si>
  <si>
    <t xml:space="preserve">Expected / rule</t>
  </si>
  <si>
    <t xml:space="preserve">Total headcount</t>
  </si>
  <si>
    <t xml:space="preserve">Scenario A: 10</t>
  </si>
  <si>
    <t xml:space="preserve">Productive headcount</t>
  </si>
  <si>
    <t xml:space="preserve">Scenario A: 7</t>
  </si>
  <si>
    <t xml:space="preserve">Non-productive headcount</t>
  </si>
  <si>
    <t xml:space="preserve">Scenario A: 3</t>
  </si>
  <si>
    <t xml:space="preserve">Productive assets</t>
  </si>
  <si>
    <t xml:space="preserve">Scenario A: 4</t>
  </si>
  <si>
    <t xml:space="preserve">Support assets</t>
  </si>
  <si>
    <t xml:space="preserve">Staff rows missing a labour rate</t>
  </si>
  <si>
    <t xml:space="preserve">0</t>
  </si>
  <si>
    <t xml:space="preserve">Productive types missing a charge-out rate</t>
  </si>
  <si>
    <t xml:space="preserve">Productive assets missing a purchase price</t>
  </si>
  <si>
    <t xml:space="preserve">0 (enter 0 if owned outright)</t>
  </si>
  <si>
    <t xml:space="preserve">Labour assignment rows with a problem</t>
  </si>
  <si>
    <t xml:space="preserve">Asset assignment rows with a problem</t>
  </si>
  <si>
    <t xml:space="preserve">Groups with a problem</t>
  </si>
  <si>
    <t xml:space="preserve">Productive assets with no Rate Builder line</t>
  </si>
  <si>
    <t xml:space="preserve">0 (otherwise 'Not priced', E-2)</t>
  </si>
  <si>
    <t xml:space="preserve">Rate Builder lines with no rate</t>
  </si>
  <si>
    <t xml:space="preserve">Revenue entered</t>
  </si>
  <si>
    <t xml:space="preserve">&gt; 0</t>
  </si>
  <si>
    <t xml:space="preserve">Owner labour treatment chosen</t>
  </si>
  <si>
    <t xml:space="preserve">pick one (Q-1)</t>
  </si>
  <si>
    <t xml:space="preserve">Materials markup entered</t>
  </si>
  <si>
    <t xml:space="preserve">whole number</t>
  </si>
  <si>
    <t xml:space="preserve">staff_type_name (system type, app label)</t>
  </si>
  <si>
    <t xml:space="preserve">yes_no</t>
  </si>
  <si>
    <t xml:space="preserve">recovery_hour_source</t>
  </si>
  <si>
    <t xml:space="preserve">asset_run_pattern</t>
  </si>
  <si>
    <t xml:space="preserve">overhead_subcategory</t>
  </si>
  <si>
    <t xml:space="preserve">direct_cost_category</t>
  </si>
  <si>
    <t xml:space="preserve">non_productive_policy</t>
  </si>
  <si>
    <t xml:space="preserve">owner_labour_treatment</t>
  </si>
  <si>
    <t xml:space="preserve">unit</t>
  </si>
  <si>
    <t xml:space="preserve">owner_on_wages_in_pnl</t>
  </si>
  <si>
    <t xml:space="preserve">sequential</t>
  </si>
  <si>
    <t xml:space="preserve">subcontract_labour</t>
  </si>
  <si>
    <t xml:space="preserve">spread_as_overhead</t>
  </si>
  <si>
    <t xml:space="preserve">owner_paid_by_drawings_not_in_pnl</t>
  </si>
  <si>
    <t xml:space="preserve">day</t>
  </si>
  <si>
    <t xml:space="preserve">subcontracting_general</t>
  </si>
  <si>
    <t xml:space="preserve">each</t>
  </si>
  <si>
    <t xml:space="preserve">hired_equipment_plant</t>
  </si>
  <si>
    <t xml:space="preserve">m3</t>
  </si>
  <si>
    <t xml:space="preserve">freight_cartage</t>
  </si>
  <si>
    <t xml:space="preserve">m2</t>
  </si>
  <si>
    <t xml:space="preserve">waste_tipping</t>
  </si>
  <si>
    <t xml:space="preserve">km</t>
  </si>
  <si>
    <t xml:space="preserve">travel</t>
  </si>
  <si>
    <t xml:space="preserve">direct_consumables</t>
  </si>
  <si>
    <t xml:space="preserve">other_direct_costs</t>
  </si>
  <si>
    <t xml:space="preserve">finance_interest</t>
  </si>
  <si>
    <t xml:space="preserve">Lists used by the dropdowns. Values are the exact strings the app stores - do not edit.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</si>
</sst>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@"/>
    <numFmt numFmtId="166" formatCode="0"/>
    <numFmt numFmtId="167" formatCode="#,##0.00;\(#,##0.00\);\-"/>
    <numFmt numFmtId="168" formatCode="\$#,##0.00;&quot;($&quot;#,##0.00\);\-"/>
    <numFmt numFmtId="169" formatCode="0.00"/>
    <numFmt numFmtId="170" formatCode="\$#,##0;&quot;($&quot;#,##0\);\-"/>
    <numFmt numFmtId="171" formatCode="#,##0;\(#,##0\);\-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i val="true"/>
      <sz val="10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7E6E6"/>
        <bgColor rgb="FFF2F2F2"/>
      </patternFill>
    </fill>
    <fill>
      <patternFill patternType="solid">
        <fgColor rgb="FFF2F2F2"/>
        <bgColor rgb="FFE7E6E6"/>
      </patternFill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s">
        <v>4</v>
      </c>
    </row>
    <row r="6" customFormat="false" ht="15" hidden="false" customHeight="false" outlineLevel="0" collapsed="false">
      <c r="A6" s="4" t="s">
        <v>5</v>
      </c>
      <c r="B6" s="5" t="s">
        <v>6</v>
      </c>
    </row>
    <row r="7" customFormat="false" ht="15" hidden="false" customHeight="false" outlineLevel="0" collapsed="false">
      <c r="A7" s="6" t="s">
        <v>3</v>
      </c>
      <c r="B7" s="5" t="s">
        <v>7</v>
      </c>
    </row>
    <row r="8" customFormat="false" ht="15" hidden="false" customHeight="false" outlineLevel="0" collapsed="false">
      <c r="A8" s="7" t="s">
        <v>8</v>
      </c>
      <c r="B8" s="5" t="s">
        <v>9</v>
      </c>
    </row>
    <row r="9" customFormat="false" ht="15" hidden="false" customHeight="false" outlineLevel="0" collapsed="false">
      <c r="A9" s="8"/>
      <c r="B9" s="5"/>
    </row>
    <row r="10" customFormat="false" ht="15" hidden="false" customHeight="false" outlineLevel="0" collapsed="false">
      <c r="A10" s="9" t="s">
        <v>10</v>
      </c>
    </row>
    <row r="11" customFormat="false" ht="23.85" hidden="false" customHeight="false" outlineLevel="0" collapsed="false">
      <c r="A11" s="4" t="s">
        <v>11</v>
      </c>
      <c r="B11" s="5" t="s">
        <v>12</v>
      </c>
    </row>
    <row r="12" customFormat="false" ht="15" hidden="false" customHeight="false" outlineLevel="0" collapsed="false">
      <c r="A12" s="4" t="s">
        <v>13</v>
      </c>
      <c r="B12" s="5" t="s">
        <v>14</v>
      </c>
    </row>
    <row r="13" customFormat="false" ht="15" hidden="false" customHeight="false" outlineLevel="0" collapsed="false">
      <c r="A13" s="4" t="s">
        <v>15</v>
      </c>
      <c r="B13" s="5" t="s">
        <v>16</v>
      </c>
    </row>
    <row r="14" customFormat="false" ht="15" hidden="false" customHeight="false" outlineLevel="0" collapsed="false">
      <c r="A14" s="4" t="s">
        <v>17</v>
      </c>
      <c r="B14" s="5" t="s">
        <v>18</v>
      </c>
    </row>
    <row r="15" customFormat="false" ht="15" hidden="false" customHeight="false" outlineLevel="0" collapsed="false">
      <c r="A15" s="4" t="s">
        <v>19</v>
      </c>
      <c r="B15" s="5" t="s">
        <v>20</v>
      </c>
    </row>
    <row r="16" customFormat="false" ht="15" hidden="false" customHeight="false" outlineLevel="0" collapsed="false">
      <c r="A16" s="4"/>
      <c r="B16" s="5"/>
    </row>
    <row r="17" customFormat="false" ht="15" hidden="false" customHeight="false" outlineLevel="0" collapsed="false">
      <c r="A17" s="3" t="s">
        <v>21</v>
      </c>
    </row>
    <row r="18" customFormat="false" ht="15" hidden="false" customHeight="false" outlineLevel="0" collapsed="false">
      <c r="A18" s="4" t="s">
        <v>22</v>
      </c>
      <c r="B18" s="5" t="s">
        <v>23</v>
      </c>
    </row>
    <row r="19" customFormat="false" ht="15" hidden="false" customHeight="false" outlineLevel="0" collapsed="false">
      <c r="A19" s="4" t="s">
        <v>24</v>
      </c>
      <c r="B19" s="5" t="s">
        <v>25</v>
      </c>
    </row>
    <row r="20" customFormat="false" ht="15" hidden="false" customHeight="false" outlineLevel="0" collapsed="false">
      <c r="A20" s="4" t="s">
        <v>26</v>
      </c>
      <c r="B20" s="5" t="s">
        <v>27</v>
      </c>
    </row>
    <row r="21" customFormat="false" ht="15" hidden="false" customHeight="false" outlineLevel="0" collapsed="false">
      <c r="A21" s="4" t="s">
        <v>28</v>
      </c>
      <c r="B21" s="5" t="s">
        <v>29</v>
      </c>
    </row>
    <row r="22" customFormat="false" ht="15" hidden="false" customHeight="false" outlineLevel="0" collapsed="false">
      <c r="A22" s="4" t="s">
        <v>30</v>
      </c>
      <c r="B22" s="5" t="s">
        <v>31</v>
      </c>
    </row>
    <row r="23" customFormat="false" ht="23.85" hidden="false" customHeight="false" outlineLevel="0" collapsed="false">
      <c r="A23" s="4" t="s">
        <v>32</v>
      </c>
      <c r="B23" s="5" t="s">
        <v>33</v>
      </c>
    </row>
    <row r="24" customFormat="false" ht="15" hidden="false" customHeight="false" outlineLevel="0" collapsed="false">
      <c r="A24" s="4" t="s">
        <v>34</v>
      </c>
      <c r="B24" s="5" t="s">
        <v>35</v>
      </c>
    </row>
    <row r="25" customFormat="false" ht="15" hidden="false" customHeight="false" outlineLevel="0" collapsed="false">
      <c r="A25" s="4" t="s">
        <v>36</v>
      </c>
      <c r="B25" s="5" t="s">
        <v>37</v>
      </c>
    </row>
    <row r="26" customFormat="false" ht="23.85" hidden="false" customHeight="false" outlineLevel="0" collapsed="false">
      <c r="A26" s="4" t="s">
        <v>38</v>
      </c>
      <c r="B26" s="5" t="s">
        <v>39</v>
      </c>
    </row>
    <row r="27" customFormat="false" ht="15" hidden="false" customHeight="false" outlineLevel="0" collapsed="false">
      <c r="A27" s="4" t="s">
        <v>40</v>
      </c>
      <c r="B27" s="5" t="s">
        <v>41</v>
      </c>
    </row>
    <row r="28" customFormat="false" ht="15" hidden="false" customHeight="false" outlineLevel="0" collapsed="false">
      <c r="A28" s="4" t="s">
        <v>42</v>
      </c>
      <c r="B28" s="5" t="s">
        <v>43</v>
      </c>
    </row>
    <row r="29" customFormat="false" ht="15" hidden="false" customHeight="false" outlineLevel="0" collapsed="false">
      <c r="A29" s="4"/>
      <c r="B29" s="5"/>
    </row>
    <row r="30" customFormat="false" ht="15" hidden="false" customHeight="false" outlineLevel="0" collapsed="false">
      <c r="A30" s="3" t="s">
        <v>44</v>
      </c>
    </row>
    <row r="31" customFormat="false" ht="23.85" hidden="false" customHeight="false" outlineLevel="0" collapsed="false">
      <c r="A31" s="4" t="s">
        <v>45</v>
      </c>
      <c r="B31" s="5" t="s">
        <v>46</v>
      </c>
    </row>
    <row r="32" customFormat="false" ht="15" hidden="false" customHeight="false" outlineLevel="0" collapsed="false">
      <c r="A32" s="4"/>
      <c r="B32" s="5"/>
    </row>
    <row r="33" customFormat="false" ht="23.85" hidden="false" customHeight="false" outlineLevel="0" collapsed="false">
      <c r="A33" s="4" t="s">
        <v>47</v>
      </c>
      <c r="B33" s="5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49</v>
      </c>
    </row>
    <row r="2" customFormat="false" ht="15" hidden="false" customHeight="false" outlineLevel="0" collapsed="false">
      <c r="A2" s="2" t="s">
        <v>50</v>
      </c>
    </row>
    <row r="4" customFormat="false" ht="42" hidden="false" customHeight="true" outlineLevel="0" collapsed="false">
      <c r="A4" s="10" t="s">
        <v>51</v>
      </c>
      <c r="B4" s="10" t="s">
        <v>52</v>
      </c>
      <c r="C4" s="10" t="s">
        <v>53</v>
      </c>
    </row>
    <row r="5" customFormat="false" ht="15" hidden="false" customHeight="false" outlineLevel="0" collapsed="false">
      <c r="A5" s="11" t="s">
        <v>54</v>
      </c>
      <c r="B5" s="12" t="s">
        <v>55</v>
      </c>
      <c r="C5" s="13" t="s">
        <v>56</v>
      </c>
    </row>
    <row r="6" customFormat="false" ht="15" hidden="false" customHeight="false" outlineLevel="0" collapsed="false">
      <c r="A6" s="11" t="s">
        <v>57</v>
      </c>
      <c r="B6" s="14" t="s">
        <v>58</v>
      </c>
      <c r="C6" s="13" t="s">
        <v>59</v>
      </c>
    </row>
    <row r="7" customFormat="false" ht="15" hidden="false" customHeight="false" outlineLevel="0" collapsed="false">
      <c r="A7" s="11" t="s">
        <v>60</v>
      </c>
      <c r="B7" s="14" t="s">
        <v>61</v>
      </c>
      <c r="C7" s="13" t="s">
        <v>62</v>
      </c>
    </row>
    <row r="8" customFormat="false" ht="15" hidden="false" customHeight="false" outlineLevel="0" collapsed="false">
      <c r="A8" s="11" t="s">
        <v>63</v>
      </c>
      <c r="B8" s="15" t="s">
        <v>64</v>
      </c>
      <c r="C8" s="13" t="s">
        <v>65</v>
      </c>
    </row>
    <row r="9" customFormat="false" ht="15" hidden="false" customHeight="false" outlineLevel="0" collapsed="false">
      <c r="A9" s="11" t="s">
        <v>66</v>
      </c>
      <c r="B9" s="16"/>
      <c r="C9" s="13" t="s">
        <v>67</v>
      </c>
    </row>
    <row r="10" customFormat="false" ht="15" hidden="false" customHeight="false" outlineLevel="0" collapsed="false">
      <c r="A10" s="11" t="s">
        <v>68</v>
      </c>
      <c r="B10" s="12" t="s">
        <v>69</v>
      </c>
      <c r="C10" s="13" t="s">
        <v>70</v>
      </c>
    </row>
    <row r="11" customFormat="false" ht="15" hidden="false" customHeight="false" outlineLevel="0" collapsed="false">
      <c r="A11" s="11" t="s">
        <v>71</v>
      </c>
      <c r="B11" s="12"/>
      <c r="C11" s="13" t="s">
        <v>72</v>
      </c>
    </row>
    <row r="14" customFormat="false" ht="15" hidden="false" customHeight="false" outlineLevel="0" collapsed="false">
      <c r="A14" s="3" t="s">
        <v>73</v>
      </c>
    </row>
    <row r="15" customFormat="false" ht="42" hidden="false" customHeight="true" outlineLevel="0" collapsed="false">
      <c r="A15" s="10" t="s">
        <v>74</v>
      </c>
      <c r="B15" s="10" t="s">
        <v>75</v>
      </c>
      <c r="C15" s="10" t="s">
        <v>76</v>
      </c>
      <c r="D15" s="10" t="s">
        <v>77</v>
      </c>
      <c r="E15" s="10" t="s">
        <v>78</v>
      </c>
      <c r="F15" s="10" t="s">
        <v>79</v>
      </c>
    </row>
    <row r="16" customFormat="false" ht="15" hidden="false" customHeight="false" outlineLevel="0" collapsed="false">
      <c r="A16" s="13" t="s">
        <v>80</v>
      </c>
      <c r="B16" s="12" t="s">
        <v>81</v>
      </c>
      <c r="C16" s="12" t="s">
        <v>82</v>
      </c>
      <c r="D16" s="12" t="s">
        <v>83</v>
      </c>
      <c r="E16" s="16" t="n">
        <v>0</v>
      </c>
      <c r="F16" s="17" t="n">
        <f aca="false">IF(AND(B16="Y",C16&lt;&gt;"",D16&lt;&gt;""),(TIMEVALUE(D16)-TIMEVALUE(C16))*24-E16/60,0)</f>
        <v>9</v>
      </c>
    </row>
    <row r="17" customFormat="false" ht="15" hidden="false" customHeight="false" outlineLevel="0" collapsed="false">
      <c r="A17" s="13" t="s">
        <v>84</v>
      </c>
      <c r="B17" s="12" t="s">
        <v>81</v>
      </c>
      <c r="C17" s="12" t="s">
        <v>82</v>
      </c>
      <c r="D17" s="12" t="s">
        <v>83</v>
      </c>
      <c r="E17" s="16" t="n">
        <v>0</v>
      </c>
      <c r="F17" s="17" t="n">
        <f aca="false">IF(AND(B17="Y",C17&lt;&gt;"",D17&lt;&gt;""),(TIMEVALUE(D17)-TIMEVALUE(C17))*24-E17/60,0)</f>
        <v>9</v>
      </c>
    </row>
    <row r="18" customFormat="false" ht="15" hidden="false" customHeight="false" outlineLevel="0" collapsed="false">
      <c r="A18" s="13" t="s">
        <v>85</v>
      </c>
      <c r="B18" s="12" t="s">
        <v>81</v>
      </c>
      <c r="C18" s="12" t="s">
        <v>82</v>
      </c>
      <c r="D18" s="12" t="s">
        <v>83</v>
      </c>
      <c r="E18" s="16" t="n">
        <v>0</v>
      </c>
      <c r="F18" s="17" t="n">
        <f aca="false">IF(AND(B18="Y",C18&lt;&gt;"",D18&lt;&gt;""),(TIMEVALUE(D18)-TIMEVALUE(C18))*24-E18/60,0)</f>
        <v>9</v>
      </c>
    </row>
    <row r="19" customFormat="false" ht="15" hidden="false" customHeight="false" outlineLevel="0" collapsed="false">
      <c r="A19" s="13" t="s">
        <v>86</v>
      </c>
      <c r="B19" s="12" t="s">
        <v>81</v>
      </c>
      <c r="C19" s="12" t="s">
        <v>82</v>
      </c>
      <c r="D19" s="12" t="s">
        <v>83</v>
      </c>
      <c r="E19" s="16" t="n">
        <v>0</v>
      </c>
      <c r="F19" s="17" t="n">
        <f aca="false">IF(AND(B19="Y",C19&lt;&gt;"",D19&lt;&gt;""),(TIMEVALUE(D19)-TIMEVALUE(C19))*24-E19/60,0)</f>
        <v>9</v>
      </c>
    </row>
    <row r="20" customFormat="false" ht="15" hidden="false" customHeight="false" outlineLevel="0" collapsed="false">
      <c r="A20" s="13" t="s">
        <v>87</v>
      </c>
      <c r="B20" s="12" t="s">
        <v>81</v>
      </c>
      <c r="C20" s="12" t="s">
        <v>82</v>
      </c>
      <c r="D20" s="12" t="s">
        <v>83</v>
      </c>
      <c r="E20" s="16" t="n">
        <v>0</v>
      </c>
      <c r="F20" s="17" t="n">
        <f aca="false">IF(AND(B20="Y",C20&lt;&gt;"",D20&lt;&gt;""),(TIMEVALUE(D20)-TIMEVALUE(C20))*24-E20/60,0)</f>
        <v>9</v>
      </c>
    </row>
    <row r="21" customFormat="false" ht="15" hidden="false" customHeight="false" outlineLevel="0" collapsed="false">
      <c r="A21" s="13" t="s">
        <v>88</v>
      </c>
      <c r="B21" s="12" t="s">
        <v>89</v>
      </c>
      <c r="C21" s="12"/>
      <c r="D21" s="12"/>
      <c r="E21" s="16" t="n">
        <v>0</v>
      </c>
      <c r="F21" s="17" t="n">
        <f aca="false">IF(AND(B21="Y",C21&lt;&gt;"",D21&lt;&gt;""),(TIMEVALUE(D21)-TIMEVALUE(C21))*24-E21/60,0)</f>
        <v>0</v>
      </c>
    </row>
    <row r="22" customFormat="false" ht="15" hidden="false" customHeight="false" outlineLevel="0" collapsed="false">
      <c r="A22" s="13" t="s">
        <v>90</v>
      </c>
      <c r="B22" s="12" t="s">
        <v>89</v>
      </c>
      <c r="C22" s="12"/>
      <c r="D22" s="12"/>
      <c r="E22" s="16" t="n">
        <v>0</v>
      </c>
      <c r="F22" s="17" t="n">
        <f aca="false">IF(AND(B22="Y",C22&lt;&gt;"",D22&lt;&gt;""),(TIMEVALUE(D22)-TIMEVALUE(C22))*24-E22/60,0)</f>
        <v>0</v>
      </c>
    </row>
    <row r="23" customFormat="false" ht="15" hidden="false" customHeight="false" outlineLevel="0" collapsed="false">
      <c r="A23" s="4" t="s">
        <v>91</v>
      </c>
      <c r="F23" s="17" t="n">
        <f aca="false">SUM(F16:F22)</f>
        <v>45</v>
      </c>
    </row>
    <row r="25" customFormat="false" ht="15" hidden="false" customHeight="false" outlineLevel="0" collapsed="false">
      <c r="A25" s="4" t="s">
        <v>92</v>
      </c>
      <c r="B25" s="16" t="n">
        <v>4</v>
      </c>
      <c r="C25" s="18" t="s">
        <v>93</v>
      </c>
    </row>
    <row r="26" customFormat="false" ht="15" hidden="false" customHeight="false" outlineLevel="0" collapsed="false">
      <c r="A26" s="4" t="s">
        <v>94</v>
      </c>
      <c r="B26" s="16" t="n">
        <v>0</v>
      </c>
      <c r="C26" s="18" t="s">
        <v>95</v>
      </c>
    </row>
  </sheetData>
  <dataValidations count="3">
    <dataValidation allowBlank="true" error="Pick from the list" errorStyle="stop" errorTitle="Not in list" operator="between" showDropDown="false" showErrorMessage="false" showInputMessage="false" sqref="B10" type="list">
      <formula1>Lists!$J$2:$J$3</formula1>
      <formula2>0</formula2>
    </dataValidation>
    <dataValidation allowBlank="true" error="Pick from the list" errorStyle="stop" errorTitle="Not in list" operator="between" showDropDown="false" showErrorMessage="false" showInputMessage="false" sqref="B11" type="list">
      <formula1>Lists!$K$2:$K$3</formula1>
      <formula2>0</formula2>
    </dataValidation>
    <dataValidation allowBlank="true" error="Pick from the list" errorStyle="stop" errorTitle="Not in list" operator="between" showDropDown="false" showErrorMessage="false" showInputMessage="false" sqref="B16:B22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6"/>
    <col collapsed="false" customWidth="true" hidden="false" outlineLevel="0" max="3" min="3" style="0" width="28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8" min="7" style="0" width="10"/>
    <col collapsed="false" customWidth="true" hidden="false" outlineLevel="0" max="10" min="9" style="0" width="12"/>
    <col collapsed="false" customWidth="true" hidden="false" outlineLevel="0" max="12" min="11" style="0" width="11"/>
    <col collapsed="false" customWidth="true" hidden="false" outlineLevel="0" max="13" min="13" style="0" width="9"/>
    <col collapsed="false" customWidth="true" hidden="false" outlineLevel="0" max="15" min="14" style="0" width="11"/>
    <col collapsed="false" customWidth="true" hidden="false" outlineLevel="0" max="16" min="16" style="0" width="12"/>
    <col collapsed="false" customWidth="true" hidden="false" outlineLevel="0" max="17" min="17" style="0" width="11"/>
    <col collapsed="false" customWidth="true" hidden="false" outlineLevel="0" max="18" min="18" style="0" width="10"/>
    <col collapsed="false" customWidth="true" hidden="false" outlineLevel="0" max="20" min="19" style="0" width="16"/>
    <col collapsed="false" customWidth="true" hidden="false" outlineLevel="0" max="21" min="21" style="0" width="34"/>
  </cols>
  <sheetData>
    <row r="1" customFormat="false" ht="17.35" hidden="false" customHeight="false" outlineLevel="0" collapsed="false">
      <c r="A1" s="1" t="s">
        <v>96</v>
      </c>
    </row>
    <row r="2" customFormat="false" ht="15" hidden="false" customHeight="false" outlineLevel="0" collapsed="false">
      <c r="A2" s="2" t="s">
        <v>97</v>
      </c>
    </row>
    <row r="4" customFormat="false" ht="42" hidden="false" customHeight="true" outlineLevel="0" collapsed="false">
      <c r="A4" s="10" t="s">
        <v>98</v>
      </c>
      <c r="B4" s="10" t="s">
        <v>99</v>
      </c>
      <c r="C4" s="10" t="s">
        <v>100</v>
      </c>
      <c r="D4" s="10" t="s">
        <v>101</v>
      </c>
      <c r="E4" s="10" t="s">
        <v>102</v>
      </c>
      <c r="F4" s="10" t="s">
        <v>103</v>
      </c>
      <c r="G4" s="10" t="s">
        <v>104</v>
      </c>
      <c r="H4" s="10" t="s">
        <v>105</v>
      </c>
      <c r="I4" s="10" t="s">
        <v>106</v>
      </c>
      <c r="J4" s="10" t="s">
        <v>107</v>
      </c>
      <c r="K4" s="10" t="s">
        <v>108</v>
      </c>
      <c r="L4" s="10" t="s">
        <v>109</v>
      </c>
      <c r="M4" s="10" t="s">
        <v>110</v>
      </c>
      <c r="N4" s="10" t="s">
        <v>111</v>
      </c>
      <c r="O4" s="10" t="s">
        <v>112</v>
      </c>
      <c r="P4" s="10" t="s">
        <v>113</v>
      </c>
      <c r="Q4" s="10" t="s">
        <v>114</v>
      </c>
      <c r="R4" s="10" t="s">
        <v>115</v>
      </c>
      <c r="S4" s="10" t="s">
        <v>116</v>
      </c>
      <c r="T4" s="10" t="s">
        <v>117</v>
      </c>
      <c r="U4" s="10" t="s">
        <v>118</v>
      </c>
    </row>
    <row r="5" customFormat="false" ht="15" hidden="false" customHeight="false" outlineLevel="0" collapsed="false">
      <c r="A5" s="19" t="s">
        <v>119</v>
      </c>
      <c r="B5" s="19" t="s">
        <v>120</v>
      </c>
      <c r="C5" s="19" t="s">
        <v>121</v>
      </c>
      <c r="D5" s="20" t="n">
        <v>4</v>
      </c>
      <c r="E5" s="19" t="s">
        <v>122</v>
      </c>
      <c r="F5" s="19" t="s">
        <v>81</v>
      </c>
      <c r="G5" s="20" t="n">
        <v>40</v>
      </c>
      <c r="H5" s="20" t="n">
        <v>5</v>
      </c>
      <c r="I5" s="21" t="n">
        <v>35</v>
      </c>
      <c r="J5" s="20" t="n">
        <v>85</v>
      </c>
      <c r="K5" s="20" t="n">
        <v>4</v>
      </c>
      <c r="L5" s="20" t="n">
        <v>12</v>
      </c>
      <c r="M5" s="20" t="n">
        <v>10</v>
      </c>
      <c r="N5" s="20" t="n">
        <v>1</v>
      </c>
      <c r="O5" s="20" t="n">
        <v>0</v>
      </c>
      <c r="P5" s="19" t="s">
        <v>81</v>
      </c>
      <c r="Q5" s="19" t="s">
        <v>81</v>
      </c>
      <c r="R5" s="22" t="n">
        <v>1.43</v>
      </c>
      <c r="S5" s="23" t="n">
        <v>72800</v>
      </c>
      <c r="T5" s="23" t="n">
        <v>291200</v>
      </c>
      <c r="U5" s="19" t="s">
        <v>123</v>
      </c>
    </row>
    <row r="6" customFormat="false" ht="15" hidden="false" customHeight="false" outlineLevel="0" collapsed="false">
      <c r="A6" s="14" t="s">
        <v>124</v>
      </c>
      <c r="B6" s="12" t="s">
        <v>120</v>
      </c>
      <c r="C6" s="24" t="str">
        <f aca="false">IFERROR(INDEX(Lists!$B$2:$B$11,MATCH(B6,Lists!$A$2:$A$11,0)),"")</f>
        <v>Operator / Delivery Staff</v>
      </c>
      <c r="D6" s="16" t="n">
        <v>4</v>
      </c>
      <c r="E6" s="12" t="s">
        <v>122</v>
      </c>
      <c r="F6" s="12" t="s">
        <v>81</v>
      </c>
      <c r="G6" s="16" t="n">
        <v>40</v>
      </c>
      <c r="H6" s="16" t="n">
        <v>5</v>
      </c>
      <c r="I6" s="25"/>
      <c r="J6" s="16" t="n">
        <v>85</v>
      </c>
      <c r="K6" s="16" t="n">
        <v>4</v>
      </c>
      <c r="L6" s="16" t="n">
        <v>12</v>
      </c>
      <c r="M6" s="16" t="n">
        <v>10</v>
      </c>
      <c r="N6" s="16" t="n">
        <v>1</v>
      </c>
      <c r="O6" s="16" t="n">
        <v>0</v>
      </c>
      <c r="P6" s="12" t="s">
        <v>81</v>
      </c>
      <c r="Q6" s="12" t="s">
        <v>81</v>
      </c>
      <c r="R6" s="26" t="n">
        <v>1.43</v>
      </c>
      <c r="S6" s="27" t="n">
        <f aca="false">IF(OR(G6="",I6=""),0,G6*52*I6)</f>
        <v>0</v>
      </c>
      <c r="T6" s="27" t="n">
        <f aca="false">S6*D6</f>
        <v>0</v>
      </c>
      <c r="U6" s="28" t="s">
        <v>125</v>
      </c>
    </row>
    <row r="7" customFormat="false" ht="15" hidden="false" customHeight="false" outlineLevel="0" collapsed="false">
      <c r="A7" s="14" t="s">
        <v>126</v>
      </c>
      <c r="B7" s="12" t="s">
        <v>127</v>
      </c>
      <c r="C7" s="24" t="str">
        <f aca="false">IFERROR(INDEX(Lists!$B$2:$B$11,MATCH(B7,Lists!$A$2:$A$11,0)),"")</f>
        <v>Senior Operator / Senior Staff</v>
      </c>
      <c r="D7" s="16" t="n">
        <v>2</v>
      </c>
      <c r="E7" s="12" t="s">
        <v>122</v>
      </c>
      <c r="F7" s="12" t="s">
        <v>81</v>
      </c>
      <c r="G7" s="16" t="n">
        <v>40</v>
      </c>
      <c r="H7" s="16" t="n">
        <v>5</v>
      </c>
      <c r="I7" s="25"/>
      <c r="J7" s="16" t="n">
        <v>85</v>
      </c>
      <c r="K7" s="16" t="n">
        <v>4</v>
      </c>
      <c r="L7" s="16" t="n">
        <v>12</v>
      </c>
      <c r="M7" s="16" t="n">
        <v>10</v>
      </c>
      <c r="N7" s="16" t="n">
        <v>1</v>
      </c>
      <c r="O7" s="16" t="n">
        <v>0</v>
      </c>
      <c r="P7" s="12" t="s">
        <v>81</v>
      </c>
      <c r="Q7" s="12" t="s">
        <v>81</v>
      </c>
      <c r="R7" s="26" t="n">
        <v>1.43</v>
      </c>
      <c r="S7" s="27" t="n">
        <f aca="false">IF(OR(G7="",I7=""),0,G7*52*I7)</f>
        <v>0</v>
      </c>
      <c r="T7" s="27" t="n">
        <f aca="false">S7*D7</f>
        <v>0</v>
      </c>
      <c r="U7" s="28"/>
    </row>
    <row r="8" customFormat="false" ht="15" hidden="false" customHeight="false" outlineLevel="0" collapsed="false">
      <c r="A8" s="14" t="s">
        <v>128</v>
      </c>
      <c r="B8" s="12" t="s">
        <v>129</v>
      </c>
      <c r="C8" s="24" t="str">
        <f aca="false">IFERROR(INDEX(Lists!$B$2:$B$11,MATCH(B8,Lists!$A$2:$A$11,0)),"")</f>
        <v>Supervisor / Team Lead</v>
      </c>
      <c r="D8" s="16" t="n">
        <v>1</v>
      </c>
      <c r="E8" s="12" t="s">
        <v>122</v>
      </c>
      <c r="F8" s="12" t="s">
        <v>81</v>
      </c>
      <c r="G8" s="16" t="n">
        <v>40</v>
      </c>
      <c r="H8" s="16" t="n">
        <v>5</v>
      </c>
      <c r="I8" s="25"/>
      <c r="J8" s="16" t="n">
        <v>85</v>
      </c>
      <c r="K8" s="16" t="n">
        <v>4</v>
      </c>
      <c r="L8" s="16" t="n">
        <v>12</v>
      </c>
      <c r="M8" s="16" t="n">
        <v>10</v>
      </c>
      <c r="N8" s="16" t="n">
        <v>1</v>
      </c>
      <c r="O8" s="16" t="n">
        <v>0</v>
      </c>
      <c r="P8" s="12" t="s">
        <v>81</v>
      </c>
      <c r="Q8" s="12" t="s">
        <v>81</v>
      </c>
      <c r="R8" s="26" t="n">
        <v>1.43</v>
      </c>
      <c r="S8" s="27" t="n">
        <f aca="false">IF(OR(G8="",I8=""),0,G8*52*I8)</f>
        <v>0</v>
      </c>
      <c r="T8" s="27" t="n">
        <f aca="false">S8*D8</f>
        <v>0</v>
      </c>
      <c r="U8" s="28"/>
    </row>
    <row r="9" customFormat="false" ht="15" hidden="false" customHeight="false" outlineLevel="0" collapsed="false">
      <c r="A9" s="14" t="s">
        <v>130</v>
      </c>
      <c r="B9" s="12" t="s">
        <v>131</v>
      </c>
      <c r="C9" s="24" t="str">
        <f aca="false">IFERROR(INDEX(Lists!$B$2:$B$11,MATCH(B9,Lists!$A$2:$A$11,0)),"")</f>
        <v>Owner / Director</v>
      </c>
      <c r="D9" s="16" t="n">
        <v>1</v>
      </c>
      <c r="E9" s="12" t="s">
        <v>132</v>
      </c>
      <c r="F9" s="12" t="s">
        <v>89</v>
      </c>
      <c r="G9" s="16" t="n">
        <v>40</v>
      </c>
      <c r="H9" s="16" t="n">
        <v>5</v>
      </c>
      <c r="I9" s="25"/>
      <c r="J9" s="16" t="n">
        <v>85</v>
      </c>
      <c r="K9" s="16" t="n">
        <v>4</v>
      </c>
      <c r="L9" s="16" t="n">
        <v>12</v>
      </c>
      <c r="M9" s="16" t="n">
        <v>10</v>
      </c>
      <c r="N9" s="16" t="n">
        <v>1</v>
      </c>
      <c r="O9" s="16" t="n">
        <v>0</v>
      </c>
      <c r="P9" s="12" t="s">
        <v>81</v>
      </c>
      <c r="Q9" s="12" t="s">
        <v>81</v>
      </c>
      <c r="R9" s="26" t="n">
        <v>1.43</v>
      </c>
      <c r="S9" s="27" t="n">
        <f aca="false">IF(OR(G9="",I9=""),0,G9*52*I9)</f>
        <v>0</v>
      </c>
      <c r="T9" s="27" t="n">
        <f aca="false">S9*D9</f>
        <v>0</v>
      </c>
      <c r="U9" s="28" t="s">
        <v>133</v>
      </c>
    </row>
    <row r="10" customFormat="false" ht="15" hidden="false" customHeight="false" outlineLevel="0" collapsed="false">
      <c r="A10" s="14" t="s">
        <v>134</v>
      </c>
      <c r="B10" s="12" t="s">
        <v>135</v>
      </c>
      <c r="C10" s="24" t="str">
        <f aca="false">IFERROR(INDEX(Lists!$B$2:$B$11,MATCH(B10,Lists!$A$2:$A$11,0)),"")</f>
        <v>Administration / Support</v>
      </c>
      <c r="D10" s="16" t="n">
        <v>1</v>
      </c>
      <c r="E10" s="12" t="s">
        <v>132</v>
      </c>
      <c r="F10" s="12" t="s">
        <v>89</v>
      </c>
      <c r="G10" s="16" t="n">
        <v>40</v>
      </c>
      <c r="H10" s="16" t="n">
        <v>5</v>
      </c>
      <c r="I10" s="25"/>
      <c r="J10" s="16" t="n">
        <v>85</v>
      </c>
      <c r="K10" s="16" t="n">
        <v>4</v>
      </c>
      <c r="L10" s="16" t="n">
        <v>12</v>
      </c>
      <c r="M10" s="16" t="n">
        <v>10</v>
      </c>
      <c r="N10" s="16" t="n">
        <v>1</v>
      </c>
      <c r="O10" s="16" t="n">
        <v>0</v>
      </c>
      <c r="P10" s="12" t="s">
        <v>81</v>
      </c>
      <c r="Q10" s="12" t="s">
        <v>81</v>
      </c>
      <c r="R10" s="26" t="n">
        <v>1.43</v>
      </c>
      <c r="S10" s="27" t="n">
        <f aca="false">IF(OR(G10="",I10=""),0,G10*52*I10)</f>
        <v>0</v>
      </c>
      <c r="T10" s="27" t="n">
        <f aca="false">S10*D10</f>
        <v>0</v>
      </c>
      <c r="U10" s="28" t="s">
        <v>136</v>
      </c>
    </row>
    <row r="11" customFormat="false" ht="15" hidden="false" customHeight="false" outlineLevel="0" collapsed="false">
      <c r="A11" s="14" t="s">
        <v>137</v>
      </c>
      <c r="B11" s="12" t="s">
        <v>138</v>
      </c>
      <c r="C11" s="24" t="str">
        <f aca="false">IFERROR(INDEX(Lists!$B$2:$B$11,MATCH(B11,Lists!$A$2:$A$11,0)),"")</f>
        <v>Finance / Accounts</v>
      </c>
      <c r="D11" s="16" t="n">
        <v>1</v>
      </c>
      <c r="E11" s="12" t="s">
        <v>132</v>
      </c>
      <c r="F11" s="12" t="s">
        <v>89</v>
      </c>
      <c r="G11" s="16" t="n">
        <v>40</v>
      </c>
      <c r="H11" s="16" t="n">
        <v>5</v>
      </c>
      <c r="I11" s="25"/>
      <c r="J11" s="16" t="n">
        <v>85</v>
      </c>
      <c r="K11" s="16" t="n">
        <v>4</v>
      </c>
      <c r="L11" s="16" t="n">
        <v>12</v>
      </c>
      <c r="M11" s="16" t="n">
        <v>10</v>
      </c>
      <c r="N11" s="16" t="n">
        <v>1</v>
      </c>
      <c r="O11" s="16" t="n">
        <v>0</v>
      </c>
      <c r="P11" s="12" t="s">
        <v>81</v>
      </c>
      <c r="Q11" s="12" t="s">
        <v>81</v>
      </c>
      <c r="R11" s="26" t="n">
        <v>1.43</v>
      </c>
      <c r="S11" s="27" t="n">
        <f aca="false">IF(OR(G11="",I11=""),0,G11*52*I11)</f>
        <v>0</v>
      </c>
      <c r="T11" s="27" t="n">
        <f aca="false">S11*D11</f>
        <v>0</v>
      </c>
      <c r="U11" s="28"/>
    </row>
    <row r="12" customFormat="false" ht="15" hidden="false" customHeight="false" outlineLevel="0" collapsed="false">
      <c r="A12" s="14" t="s">
        <v>139</v>
      </c>
      <c r="B12" s="12"/>
      <c r="C12" s="24" t="str">
        <f aca="false">IFERROR(INDEX(Lists!$B$2:$B$11,MATCH(B12,Lists!$A$2:$A$11,0)),"")</f>
        <v/>
      </c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27" t="n">
        <f aca="false">IF(OR(G12="",I12=""),0,G12*52*I12)</f>
        <v>0</v>
      </c>
      <c r="T12" s="27" t="n">
        <f aca="false">S12*D12</f>
        <v>0</v>
      </c>
      <c r="U12" s="29"/>
    </row>
    <row r="13" customFormat="false" ht="15" hidden="false" customHeight="false" outlineLevel="0" collapsed="false">
      <c r="A13" s="14" t="s">
        <v>140</v>
      </c>
      <c r="B13" s="12"/>
      <c r="C13" s="24" t="str">
        <f aca="false">IFERROR(INDEX(Lists!$B$2:$B$11,MATCH(B13,Lists!$A$2:$A$11,0)),"")</f>
        <v/>
      </c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27" t="n">
        <f aca="false">IF(OR(G13="",I13=""),0,G13*52*I13)</f>
        <v>0</v>
      </c>
      <c r="T13" s="27" t="n">
        <f aca="false">S13*D13</f>
        <v>0</v>
      </c>
      <c r="U13" s="29"/>
    </row>
    <row r="14" customFormat="false" ht="15" hidden="false" customHeight="false" outlineLevel="0" collapsed="false">
      <c r="A14" s="14" t="s">
        <v>141</v>
      </c>
      <c r="B14" s="12"/>
      <c r="C14" s="24" t="str">
        <f aca="false">IFERROR(INDEX(Lists!$B$2:$B$11,MATCH(B14,Lists!$A$2:$A$11,0)),"")</f>
        <v/>
      </c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27" t="n">
        <f aca="false">IF(OR(G14="",I14=""),0,G14*52*I14)</f>
        <v>0</v>
      </c>
      <c r="T14" s="27" t="n">
        <f aca="false">S14*D14</f>
        <v>0</v>
      </c>
      <c r="U14" s="29"/>
    </row>
    <row r="15" customFormat="false" ht="15" hidden="false" customHeight="false" outlineLevel="0" collapsed="false">
      <c r="A15" s="14" t="s">
        <v>142</v>
      </c>
      <c r="B15" s="12"/>
      <c r="C15" s="24" t="str">
        <f aca="false">IFERROR(INDEX(Lists!$B$2:$B$11,MATCH(B15,Lists!$A$2:$A$11,0)),"")</f>
        <v/>
      </c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27" t="n">
        <f aca="false">IF(OR(G15="",I15=""),0,G15*52*I15)</f>
        <v>0</v>
      </c>
      <c r="T15" s="27" t="n">
        <f aca="false">S15*D15</f>
        <v>0</v>
      </c>
      <c r="U15" s="29"/>
    </row>
    <row r="16" customFormat="false" ht="15" hidden="false" customHeight="false" outlineLevel="0" collapsed="false">
      <c r="A16" s="14" t="s">
        <v>143</v>
      </c>
      <c r="B16" s="12"/>
      <c r="C16" s="24" t="str">
        <f aca="false">IFERROR(INDEX(Lists!$B$2:$B$11,MATCH(B16,Lists!$A$2:$A$11,0)),"")</f>
        <v/>
      </c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27" t="n">
        <f aca="false">IF(OR(G16="",I16=""),0,G16*52*I16)</f>
        <v>0</v>
      </c>
      <c r="T16" s="27" t="n">
        <f aca="false">S16*D16</f>
        <v>0</v>
      </c>
      <c r="U16" s="29"/>
    </row>
    <row r="17" customFormat="false" ht="15" hidden="false" customHeight="false" outlineLevel="0" collapsed="false">
      <c r="A17" s="14" t="s">
        <v>144</v>
      </c>
      <c r="B17" s="12"/>
      <c r="C17" s="24" t="str">
        <f aca="false">IFERROR(INDEX(Lists!$B$2:$B$11,MATCH(B17,Lists!$A$2:$A$11,0)),"")</f>
        <v/>
      </c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27" t="n">
        <f aca="false">IF(OR(G17="",I17=""),0,G17*52*I17)</f>
        <v>0</v>
      </c>
      <c r="T17" s="27" t="n">
        <f aca="false">S17*D17</f>
        <v>0</v>
      </c>
      <c r="U17" s="29"/>
    </row>
    <row r="18" customFormat="false" ht="15" hidden="false" customHeight="false" outlineLevel="0" collapsed="false">
      <c r="A18" s="14" t="s">
        <v>145</v>
      </c>
      <c r="B18" s="12"/>
      <c r="C18" s="24" t="str">
        <f aca="false">IFERROR(INDEX(Lists!$B$2:$B$11,MATCH(B18,Lists!$A$2:$A$11,0)),"")</f>
        <v/>
      </c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27" t="n">
        <f aca="false">IF(OR(G18="",I18=""),0,G18*52*I18)</f>
        <v>0</v>
      </c>
      <c r="T18" s="27" t="n">
        <f aca="false">S18*D18</f>
        <v>0</v>
      </c>
      <c r="U18" s="29"/>
    </row>
    <row r="19" customFormat="false" ht="15" hidden="false" customHeight="false" outlineLevel="0" collapsed="false">
      <c r="A19" s="14" t="s">
        <v>146</v>
      </c>
      <c r="B19" s="12"/>
      <c r="C19" s="24" t="str">
        <f aca="false">IFERROR(INDEX(Lists!$B$2:$B$11,MATCH(B19,Lists!$A$2:$A$11,0)),"")</f>
        <v/>
      </c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27" t="n">
        <f aca="false">IF(OR(G19="",I19=""),0,G19*52*I19)</f>
        <v>0</v>
      </c>
      <c r="T19" s="27" t="n">
        <f aca="false">S19*D19</f>
        <v>0</v>
      </c>
      <c r="U19" s="29"/>
    </row>
    <row r="20" customFormat="false" ht="15" hidden="false" customHeight="false" outlineLevel="0" collapsed="false">
      <c r="A20" s="14" t="s">
        <v>147</v>
      </c>
      <c r="B20" s="12"/>
      <c r="C20" s="24" t="str">
        <f aca="false">IFERROR(INDEX(Lists!$B$2:$B$11,MATCH(B20,Lists!$A$2:$A$11,0)),"")</f>
        <v/>
      </c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27" t="n">
        <f aca="false">IF(OR(G20="",I20=""),0,G20*52*I20)</f>
        <v>0</v>
      </c>
      <c r="T20" s="27" t="n">
        <f aca="false">S20*D20</f>
        <v>0</v>
      </c>
      <c r="U20" s="29"/>
    </row>
    <row r="21" customFormat="false" ht="15" hidden="false" customHeight="false" outlineLevel="0" collapsed="false">
      <c r="A21" s="14" t="s">
        <v>148</v>
      </c>
      <c r="B21" s="12"/>
      <c r="C21" s="24" t="str">
        <f aca="false">IFERROR(INDEX(Lists!$B$2:$B$11,MATCH(B21,Lists!$A$2:$A$11,0)),"")</f>
        <v/>
      </c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27" t="n">
        <f aca="false">IF(OR(G21="",I21=""),0,G21*52*I21)</f>
        <v>0</v>
      </c>
      <c r="T21" s="27" t="n">
        <f aca="false">S21*D21</f>
        <v>0</v>
      </c>
      <c r="U21" s="29"/>
    </row>
    <row r="22" customFormat="false" ht="15" hidden="false" customHeight="false" outlineLevel="0" collapsed="false">
      <c r="A22" s="14" t="s">
        <v>149</v>
      </c>
      <c r="B22" s="12"/>
      <c r="C22" s="24" t="str">
        <f aca="false">IFERROR(INDEX(Lists!$B$2:$B$11,MATCH(B22,Lists!$A$2:$A$11,0)),"")</f>
        <v/>
      </c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27" t="n">
        <f aca="false">IF(OR(G22="",I22=""),0,G22*52*I22)</f>
        <v>0</v>
      </c>
      <c r="T22" s="27" t="n">
        <f aca="false">S22*D22</f>
        <v>0</v>
      </c>
      <c r="U22" s="29"/>
    </row>
    <row r="23" customFormat="false" ht="15" hidden="false" customHeight="false" outlineLevel="0" collapsed="false">
      <c r="A23" s="14" t="s">
        <v>150</v>
      </c>
      <c r="B23" s="12"/>
      <c r="C23" s="24" t="str">
        <f aca="false">IFERROR(INDEX(Lists!$B$2:$B$11,MATCH(B23,Lists!$A$2:$A$11,0)),"")</f>
        <v/>
      </c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27" t="n">
        <f aca="false">IF(OR(G23="",I23=""),0,G23*52*I23)</f>
        <v>0</v>
      </c>
      <c r="T23" s="27" t="n">
        <f aca="false">S23*D23</f>
        <v>0</v>
      </c>
      <c r="U23" s="29"/>
    </row>
    <row r="24" customFormat="false" ht="15" hidden="false" customHeight="false" outlineLevel="0" collapsed="false">
      <c r="A24" s="14" t="s">
        <v>151</v>
      </c>
      <c r="B24" s="12"/>
      <c r="C24" s="24" t="str">
        <f aca="false">IFERROR(INDEX(Lists!$B$2:$B$11,MATCH(B24,Lists!$A$2:$A$11,0)),"")</f>
        <v/>
      </c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27" t="n">
        <f aca="false">IF(OR(G24="",I24=""),0,G24*52*I24)</f>
        <v>0</v>
      </c>
      <c r="T24" s="27" t="n">
        <f aca="false">S24*D24</f>
        <v>0</v>
      </c>
      <c r="U24" s="29"/>
    </row>
    <row r="25" customFormat="false" ht="15" hidden="false" customHeight="false" outlineLevel="0" collapsed="false">
      <c r="A25" s="14" t="s">
        <v>152</v>
      </c>
      <c r="B25" s="12"/>
      <c r="C25" s="24" t="str">
        <f aca="false">IFERROR(INDEX(Lists!$B$2:$B$11,MATCH(B25,Lists!$A$2:$A$11,0)),"")</f>
        <v/>
      </c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27" t="n">
        <f aca="false">IF(OR(G25="",I25=""),0,G25*52*I25)</f>
        <v>0</v>
      </c>
      <c r="T25" s="27" t="n">
        <f aca="false">S25*D25</f>
        <v>0</v>
      </c>
      <c r="U25" s="29"/>
    </row>
    <row r="26" customFormat="false" ht="15" hidden="false" customHeight="false" outlineLevel="0" collapsed="false">
      <c r="A26" s="14" t="s">
        <v>153</v>
      </c>
      <c r="B26" s="12"/>
      <c r="C26" s="24" t="str">
        <f aca="false">IFERROR(INDEX(Lists!$B$2:$B$11,MATCH(B26,Lists!$A$2:$A$11,0)),"")</f>
        <v/>
      </c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27" t="n">
        <f aca="false">IF(OR(G26="",I26=""),0,G26*52*I26)</f>
        <v>0</v>
      </c>
      <c r="T26" s="27" t="n">
        <f aca="false">S26*D26</f>
        <v>0</v>
      </c>
      <c r="U26" s="29"/>
    </row>
    <row r="27" customFormat="false" ht="15" hidden="false" customHeight="false" outlineLevel="0" collapsed="false">
      <c r="A27" s="14" t="s">
        <v>154</v>
      </c>
      <c r="B27" s="12"/>
      <c r="C27" s="24" t="str">
        <f aca="false">IFERROR(INDEX(Lists!$B$2:$B$11,MATCH(B27,Lists!$A$2:$A$11,0)),"")</f>
        <v/>
      </c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27" t="n">
        <f aca="false">IF(OR(G27="",I27=""),0,G27*52*I27)</f>
        <v>0</v>
      </c>
      <c r="T27" s="27" t="n">
        <f aca="false">S27*D27</f>
        <v>0</v>
      </c>
      <c r="U27" s="29"/>
    </row>
    <row r="28" customFormat="false" ht="15" hidden="false" customHeight="false" outlineLevel="0" collapsed="false">
      <c r="A28" s="14" t="s">
        <v>155</v>
      </c>
      <c r="B28" s="12"/>
      <c r="C28" s="24" t="str">
        <f aca="false">IFERROR(INDEX(Lists!$B$2:$B$11,MATCH(B28,Lists!$A$2:$A$11,0)),"")</f>
        <v/>
      </c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27" t="n">
        <f aca="false">IF(OR(G28="",I28=""),0,G28*52*I28)</f>
        <v>0</v>
      </c>
      <c r="T28" s="27" t="n">
        <f aca="false">S28*D28</f>
        <v>0</v>
      </c>
      <c r="U28" s="29"/>
    </row>
    <row r="29" customFormat="false" ht="15" hidden="false" customHeight="false" outlineLevel="0" collapsed="false">
      <c r="A29" s="14" t="s">
        <v>156</v>
      </c>
      <c r="B29" s="12"/>
      <c r="C29" s="24" t="str">
        <f aca="false">IFERROR(INDEX(Lists!$B$2:$B$11,MATCH(B29,Lists!$A$2:$A$11,0)),"")</f>
        <v/>
      </c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27" t="n">
        <f aca="false">IF(OR(G29="",I29=""),0,G29*52*I29)</f>
        <v>0</v>
      </c>
      <c r="T29" s="27" t="n">
        <f aca="false">S29*D29</f>
        <v>0</v>
      </c>
      <c r="U29" s="29"/>
    </row>
    <row r="30" customFormat="false" ht="15" hidden="false" customHeight="false" outlineLevel="0" collapsed="false">
      <c r="A30" s="14" t="s">
        <v>157</v>
      </c>
      <c r="B30" s="12"/>
      <c r="C30" s="24" t="str">
        <f aca="false">IFERROR(INDEX(Lists!$B$2:$B$11,MATCH(B30,Lists!$A$2:$A$11,0)),"")</f>
        <v/>
      </c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27" t="n">
        <f aca="false">IF(OR(G30="",I30=""),0,G30*52*I30)</f>
        <v>0</v>
      </c>
      <c r="T30" s="27" t="n">
        <f aca="false">S30*D30</f>
        <v>0</v>
      </c>
      <c r="U30" s="29"/>
    </row>
    <row r="32" customFormat="false" ht="15" hidden="false" customHeight="false" outlineLevel="0" collapsed="false">
      <c r="A32" s="4" t="s">
        <v>158</v>
      </c>
      <c r="D32" s="30" t="n">
        <f aca="false">SUM(D6:D30)</f>
        <v>10</v>
      </c>
      <c r="T32" s="27" t="n">
        <f aca="false">SUM(T6:T30)</f>
        <v>0</v>
      </c>
    </row>
    <row r="33" customFormat="false" ht="15" hidden="false" customHeight="false" outlineLevel="0" collapsed="false">
      <c r="A33" s="2" t="s">
        <v>159</v>
      </c>
    </row>
    <row r="34" customFormat="false" ht="15" hidden="false" customHeight="false" outlineLevel="0" collapsed="false">
      <c r="A34" s="2" t="s">
        <v>160</v>
      </c>
    </row>
  </sheetData>
  <dataValidations count="3">
    <dataValidation allowBlank="true" error="Pick from the list" errorStyle="stop" errorTitle="Not in list" operator="between" showDropDown="false" showErrorMessage="false" showInputMessage="false" sqref="B6:B30" type="list">
      <formula1>Lists!$A$2:$A$11</formula1>
      <formula2>0</formula2>
    </dataValidation>
    <dataValidation allowBlank="true" error="Pick from the list" errorStyle="stop" errorTitle="Not in list" operator="between" showDropDown="false" showErrorMessage="false" showInputMessage="false" sqref="E6:E30" type="list">
      <formula1>Lists!$C$2:$C$3</formula1>
      <formula2>0</formula2>
    </dataValidation>
    <dataValidation allowBlank="true" error="Pick from the list" errorStyle="stop" errorTitle="Not in list" operator="between" showDropDown="false" showErrorMessage="false" showInputMessage="false" sqref="F6:F30 P6:Q30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40"/>
  </cols>
  <sheetData>
    <row r="1" customFormat="false" ht="17.35" hidden="false" customHeight="false" outlineLevel="0" collapsed="false">
      <c r="A1" s="1" t="s">
        <v>161</v>
      </c>
    </row>
    <row r="2" customFormat="false" ht="15" hidden="false" customHeight="false" outlineLevel="0" collapsed="false">
      <c r="A2" s="2" t="s">
        <v>162</v>
      </c>
    </row>
    <row r="4" customFormat="false" ht="42" hidden="false" customHeight="true" outlineLevel="0" collapsed="false">
      <c r="A4" s="10" t="s">
        <v>99</v>
      </c>
      <c r="B4" s="10" t="s">
        <v>163</v>
      </c>
      <c r="C4" s="10" t="s">
        <v>164</v>
      </c>
      <c r="D4" s="10" t="s">
        <v>165</v>
      </c>
      <c r="E4" s="10" t="s">
        <v>166</v>
      </c>
      <c r="F4" s="10" t="s">
        <v>167</v>
      </c>
    </row>
    <row r="5" customFormat="false" ht="15" hidden="false" customHeight="false" outlineLevel="0" collapsed="false">
      <c r="A5" s="14" t="s">
        <v>131</v>
      </c>
      <c r="B5" s="13" t="s">
        <v>168</v>
      </c>
      <c r="C5" s="25"/>
      <c r="D5" s="30" t="n">
        <f aca="false">SUMIFS(Staff!$D$6:$D$30,Staff!$B$6:$B$30,A5,Staff!$E$6:$E$30,"productive")</f>
        <v>0</v>
      </c>
      <c r="E5" s="30" t="n">
        <f aca="false">SUMIFS(Staff!$D$6:$D$30,Staff!$B$6:$B$30,A5)</f>
        <v>1</v>
      </c>
      <c r="F5" s="24" t="str">
        <f aca="false">IF(AND(D5&gt;0,OR(C5="",C5=0)),"MISSING RATE - productive type with no charge-out","OK")</f>
        <v>OK</v>
      </c>
    </row>
    <row r="6" customFormat="false" ht="15" hidden="false" customHeight="false" outlineLevel="0" collapsed="false">
      <c r="A6" s="14" t="s">
        <v>169</v>
      </c>
      <c r="B6" s="13" t="s">
        <v>170</v>
      </c>
      <c r="C6" s="25"/>
      <c r="D6" s="30" t="n">
        <f aca="false">SUMIFS(Staff!$D$6:$D$30,Staff!$B$6:$B$30,A6,Staff!$E$6:$E$30,"productive")</f>
        <v>0</v>
      </c>
      <c r="E6" s="30" t="n">
        <f aca="false">SUMIFS(Staff!$D$6:$D$30,Staff!$B$6:$B$30,A6)</f>
        <v>0</v>
      </c>
      <c r="F6" s="24" t="str">
        <f aca="false">IF(AND(D6&gt;0,OR(C6="",C6=0)),"MISSING RATE - productive type with no charge-out","OK")</f>
        <v>OK</v>
      </c>
    </row>
    <row r="7" customFormat="false" ht="15" hidden="false" customHeight="false" outlineLevel="0" collapsed="false">
      <c r="A7" s="14" t="s">
        <v>129</v>
      </c>
      <c r="B7" s="13" t="s">
        <v>171</v>
      </c>
      <c r="C7" s="25"/>
      <c r="D7" s="30" t="n">
        <f aca="false">SUMIFS(Staff!$D$6:$D$30,Staff!$B$6:$B$30,A7,Staff!$E$6:$E$30,"productive")</f>
        <v>1</v>
      </c>
      <c r="E7" s="30" t="n">
        <f aca="false">SUMIFS(Staff!$D$6:$D$30,Staff!$B$6:$B$30,A7)</f>
        <v>1</v>
      </c>
      <c r="F7" s="24" t="str">
        <f aca="false">IF(AND(D7&gt;0,OR(C7="",C7=0)),"MISSING RATE - productive type with no charge-out","OK")</f>
        <v>MISSING RATE - productive type with no charge-out</v>
      </c>
    </row>
    <row r="8" customFormat="false" ht="15" hidden="false" customHeight="false" outlineLevel="0" collapsed="false">
      <c r="A8" s="14" t="s">
        <v>127</v>
      </c>
      <c r="B8" s="13" t="s">
        <v>172</v>
      </c>
      <c r="C8" s="25"/>
      <c r="D8" s="30" t="n">
        <f aca="false">SUMIFS(Staff!$D$6:$D$30,Staff!$B$6:$B$30,A8,Staff!$E$6:$E$30,"productive")</f>
        <v>2</v>
      </c>
      <c r="E8" s="30" t="n">
        <f aca="false">SUMIFS(Staff!$D$6:$D$30,Staff!$B$6:$B$30,A8)</f>
        <v>2</v>
      </c>
      <c r="F8" s="24" t="str">
        <f aca="false">IF(AND(D8&gt;0,OR(C8="",C8=0)),"MISSING RATE - productive type with no charge-out","OK")</f>
        <v>MISSING RATE - productive type with no charge-out</v>
      </c>
    </row>
    <row r="9" customFormat="false" ht="15" hidden="false" customHeight="false" outlineLevel="0" collapsed="false">
      <c r="A9" s="14" t="s">
        <v>120</v>
      </c>
      <c r="B9" s="13" t="s">
        <v>121</v>
      </c>
      <c r="C9" s="25"/>
      <c r="D9" s="30" t="n">
        <f aca="false">SUMIFS(Staff!$D$6:$D$30,Staff!$B$6:$B$30,A9,Staff!$E$6:$E$30,"productive")</f>
        <v>4</v>
      </c>
      <c r="E9" s="30" t="n">
        <f aca="false">SUMIFS(Staff!$D$6:$D$30,Staff!$B$6:$B$30,A9)</f>
        <v>4</v>
      </c>
      <c r="F9" s="24" t="str">
        <f aca="false">IF(AND(D9&gt;0,OR(C9="",C9=0)),"MISSING RATE - productive type with no charge-out","OK")</f>
        <v>MISSING RATE - productive type with no charge-out</v>
      </c>
    </row>
    <row r="10" customFormat="false" ht="15" hidden="false" customHeight="false" outlineLevel="0" collapsed="false">
      <c r="A10" s="14" t="s">
        <v>173</v>
      </c>
      <c r="B10" s="13" t="s">
        <v>174</v>
      </c>
      <c r="C10" s="25"/>
      <c r="D10" s="30" t="n">
        <f aca="false">SUMIFS(Staff!$D$6:$D$30,Staff!$B$6:$B$30,A10,Staff!$E$6:$E$30,"productive")</f>
        <v>0</v>
      </c>
      <c r="E10" s="30" t="n">
        <f aca="false">SUMIFS(Staff!$D$6:$D$30,Staff!$B$6:$B$30,A10)</f>
        <v>0</v>
      </c>
      <c r="F10" s="24" t="str">
        <f aca="false">IF(AND(D10&gt;0,OR(C10="",C10=0)),"MISSING RATE - productive type with no charge-out","OK")</f>
        <v>OK</v>
      </c>
    </row>
    <row r="11" customFormat="false" ht="15" hidden="false" customHeight="false" outlineLevel="0" collapsed="false">
      <c r="A11" s="14" t="s">
        <v>135</v>
      </c>
      <c r="B11" s="13" t="s">
        <v>175</v>
      </c>
      <c r="C11" s="25"/>
      <c r="D11" s="30" t="n">
        <f aca="false">SUMIFS(Staff!$D$6:$D$30,Staff!$B$6:$B$30,A11,Staff!$E$6:$E$30,"productive")</f>
        <v>0</v>
      </c>
      <c r="E11" s="30" t="n">
        <f aca="false">SUMIFS(Staff!$D$6:$D$30,Staff!$B$6:$B$30,A11)</f>
        <v>1</v>
      </c>
      <c r="F11" s="24" t="str">
        <f aca="false">IF(AND(D11&gt;0,OR(C11="",C11=0)),"MISSING RATE - productive type with no charge-out","OK")</f>
        <v>OK</v>
      </c>
    </row>
    <row r="12" customFormat="false" ht="15" hidden="false" customHeight="false" outlineLevel="0" collapsed="false">
      <c r="A12" s="14" t="s">
        <v>176</v>
      </c>
      <c r="B12" s="13" t="s">
        <v>177</v>
      </c>
      <c r="C12" s="25"/>
      <c r="D12" s="30" t="n">
        <f aca="false">SUMIFS(Staff!$D$6:$D$30,Staff!$B$6:$B$30,A12,Staff!$E$6:$E$30,"productive")</f>
        <v>0</v>
      </c>
      <c r="E12" s="30" t="n">
        <f aca="false">SUMIFS(Staff!$D$6:$D$30,Staff!$B$6:$B$30,A12)</f>
        <v>0</v>
      </c>
      <c r="F12" s="24" t="str">
        <f aca="false">IF(AND(D12&gt;0,OR(C12="",C12=0)),"MISSING RATE - productive type with no charge-out","OK")</f>
        <v>OK</v>
      </c>
    </row>
    <row r="13" customFormat="false" ht="15" hidden="false" customHeight="false" outlineLevel="0" collapsed="false">
      <c r="A13" s="14" t="s">
        <v>138</v>
      </c>
      <c r="B13" s="13" t="s">
        <v>178</v>
      </c>
      <c r="C13" s="25"/>
      <c r="D13" s="30" t="n">
        <f aca="false">SUMIFS(Staff!$D$6:$D$30,Staff!$B$6:$B$30,A13,Staff!$E$6:$E$30,"productive")</f>
        <v>0</v>
      </c>
      <c r="E13" s="30" t="n">
        <f aca="false">SUMIFS(Staff!$D$6:$D$30,Staff!$B$6:$B$30,A13)</f>
        <v>1</v>
      </c>
      <c r="F13" s="24" t="str">
        <f aca="false">IF(AND(D13&gt;0,OR(C13="",C13=0)),"MISSING RATE - productive type with no charge-out","OK")</f>
        <v>OK</v>
      </c>
    </row>
    <row r="14" customFormat="false" ht="15" hidden="false" customHeight="false" outlineLevel="0" collapsed="false">
      <c r="A14" s="14" t="s">
        <v>179</v>
      </c>
      <c r="B14" s="13" t="s">
        <v>180</v>
      </c>
      <c r="C14" s="25"/>
      <c r="D14" s="30" t="n">
        <f aca="false">SUMIFS(Staff!$D$6:$D$30,Staff!$B$6:$B$30,A14,Staff!$E$6:$E$30,"productive")</f>
        <v>0</v>
      </c>
      <c r="E14" s="30" t="n">
        <f aca="false">SUMIFS(Staff!$D$6:$D$30,Staff!$B$6:$B$30,A14)</f>
        <v>0</v>
      </c>
      <c r="F14" s="24" t="str">
        <f aca="false">IF(AND(D14&gt;0,OR(C14="",C14=0)),"MISSING RATE - productive type with no charge-out","OK")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7" min="7" style="0" width="9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2" min="11" style="0" width="10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6" min="15" style="0" width="12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12"/>
    <col collapsed="false" customWidth="true" hidden="false" outlineLevel="0" max="20" min="20" style="0" width="14"/>
    <col collapsed="false" customWidth="true" hidden="false" outlineLevel="0" max="21" min="21" style="0" width="30"/>
  </cols>
  <sheetData>
    <row r="1" customFormat="false" ht="17.35" hidden="false" customHeight="false" outlineLevel="0" collapsed="false">
      <c r="A1" s="1" t="s">
        <v>181</v>
      </c>
    </row>
    <row r="2" customFormat="false" ht="15" hidden="false" customHeight="false" outlineLevel="0" collapsed="false">
      <c r="A2" s="2" t="s">
        <v>182</v>
      </c>
    </row>
    <row r="4" customFormat="false" ht="42" hidden="false" customHeight="true" outlineLevel="0" collapsed="false">
      <c r="A4" s="10" t="s">
        <v>98</v>
      </c>
      <c r="B4" s="10" t="s">
        <v>183</v>
      </c>
      <c r="C4" s="10" t="s">
        <v>184</v>
      </c>
      <c r="D4" s="10" t="s">
        <v>185</v>
      </c>
      <c r="E4" s="10" t="s">
        <v>186</v>
      </c>
      <c r="F4" s="10" t="s">
        <v>187</v>
      </c>
      <c r="G4" s="10" t="s">
        <v>188</v>
      </c>
      <c r="H4" s="10" t="s">
        <v>189</v>
      </c>
      <c r="I4" s="10" t="s">
        <v>190</v>
      </c>
      <c r="J4" s="10" t="s">
        <v>191</v>
      </c>
      <c r="K4" s="10" t="s">
        <v>192</v>
      </c>
      <c r="L4" s="10" t="s">
        <v>193</v>
      </c>
      <c r="M4" s="10" t="s">
        <v>194</v>
      </c>
      <c r="N4" s="10" t="s">
        <v>195</v>
      </c>
      <c r="O4" s="10" t="s">
        <v>196</v>
      </c>
      <c r="P4" s="10" t="s">
        <v>197</v>
      </c>
      <c r="Q4" s="10" t="s">
        <v>198</v>
      </c>
      <c r="R4" s="10" t="s">
        <v>199</v>
      </c>
      <c r="S4" s="10" t="s">
        <v>200</v>
      </c>
      <c r="T4" s="10" t="s">
        <v>201</v>
      </c>
      <c r="U4" s="10" t="s">
        <v>118</v>
      </c>
    </row>
    <row r="5" customFormat="false" ht="15" hidden="false" customHeight="false" outlineLevel="0" collapsed="false">
      <c r="A5" s="19" t="s">
        <v>119</v>
      </c>
      <c r="B5" s="19" t="s">
        <v>202</v>
      </c>
      <c r="C5" s="20" t="n">
        <v>1</v>
      </c>
      <c r="D5" s="19" t="s">
        <v>122</v>
      </c>
      <c r="E5" s="20" t="n">
        <v>30</v>
      </c>
      <c r="F5" s="20" t="n">
        <v>0</v>
      </c>
      <c r="G5" s="20" t="n">
        <v>48</v>
      </c>
      <c r="H5" s="23" t="n">
        <v>200000</v>
      </c>
      <c r="I5" s="22" t="n">
        <v>10</v>
      </c>
      <c r="J5" s="31" t="s">
        <v>203</v>
      </c>
      <c r="K5" s="20" t="n">
        <v>5</v>
      </c>
      <c r="L5" s="19" t="s">
        <v>89</v>
      </c>
      <c r="M5" s="23" t="n">
        <v>500</v>
      </c>
      <c r="N5" s="23" t="n">
        <v>800</v>
      </c>
      <c r="O5" s="23" t="n">
        <v>100</v>
      </c>
      <c r="P5" s="23" t="n">
        <v>0</v>
      </c>
      <c r="Q5" s="19" t="s">
        <v>89</v>
      </c>
      <c r="R5" s="23"/>
      <c r="S5" s="32" t="n">
        <v>1440</v>
      </c>
      <c r="T5" s="23" t="n">
        <v>16800</v>
      </c>
      <c r="U5" s="19" t="s">
        <v>204</v>
      </c>
    </row>
    <row r="6" customFormat="false" ht="15" hidden="false" customHeight="false" outlineLevel="0" collapsed="false">
      <c r="A6" s="14" t="s">
        <v>205</v>
      </c>
      <c r="B6" s="12" t="s">
        <v>206</v>
      </c>
      <c r="C6" s="16" t="n">
        <v>1</v>
      </c>
      <c r="D6" s="12" t="s">
        <v>122</v>
      </c>
      <c r="E6" s="16" t="n">
        <v>40</v>
      </c>
      <c r="F6" s="16" t="n">
        <v>0</v>
      </c>
      <c r="G6" s="16" t="n">
        <v>48</v>
      </c>
      <c r="H6" s="33"/>
      <c r="I6" s="26"/>
      <c r="J6" s="15"/>
      <c r="K6" s="16" t="n">
        <v>0</v>
      </c>
      <c r="L6" s="12" t="s">
        <v>89</v>
      </c>
      <c r="M6" s="33" t="n">
        <v>0</v>
      </c>
      <c r="N6" s="33" t="n">
        <v>0</v>
      </c>
      <c r="O6" s="33" t="n">
        <v>0</v>
      </c>
      <c r="P6" s="33" t="n">
        <v>0</v>
      </c>
      <c r="Q6" s="12" t="s">
        <v>89</v>
      </c>
      <c r="R6" s="33"/>
      <c r="S6" s="34" t="n">
        <f aca="false">MAX(0,E6-F6)*G6</f>
        <v>1920</v>
      </c>
      <c r="T6" s="27" t="n">
        <f aca="false">(M6+N6+O6+P6)*12</f>
        <v>0</v>
      </c>
      <c r="U6" s="28" t="s">
        <v>207</v>
      </c>
    </row>
    <row r="7" customFormat="false" ht="15" hidden="false" customHeight="false" outlineLevel="0" collapsed="false">
      <c r="A7" s="14" t="s">
        <v>208</v>
      </c>
      <c r="B7" s="12" t="s">
        <v>209</v>
      </c>
      <c r="C7" s="16" t="n">
        <v>1</v>
      </c>
      <c r="D7" s="12" t="s">
        <v>122</v>
      </c>
      <c r="E7" s="16" t="n">
        <v>40</v>
      </c>
      <c r="F7" s="16" t="n">
        <v>0</v>
      </c>
      <c r="G7" s="16" t="n">
        <v>48</v>
      </c>
      <c r="H7" s="33"/>
      <c r="I7" s="26"/>
      <c r="J7" s="15"/>
      <c r="K7" s="16" t="n">
        <v>0</v>
      </c>
      <c r="L7" s="12" t="s">
        <v>89</v>
      </c>
      <c r="M7" s="33" t="n">
        <v>0</v>
      </c>
      <c r="N7" s="33" t="n">
        <v>0</v>
      </c>
      <c r="O7" s="33" t="n">
        <v>0</v>
      </c>
      <c r="P7" s="33" t="n">
        <v>0</v>
      </c>
      <c r="Q7" s="12" t="s">
        <v>89</v>
      </c>
      <c r="R7" s="33"/>
      <c r="S7" s="34" t="n">
        <f aca="false">MAX(0,E7-F7)*G7</f>
        <v>1920</v>
      </c>
      <c r="T7" s="27" t="n">
        <f aca="false">(M7+N7+O7+P7)*12</f>
        <v>0</v>
      </c>
      <c r="U7" s="28"/>
    </row>
    <row r="8" customFormat="false" ht="15" hidden="false" customHeight="false" outlineLevel="0" collapsed="false">
      <c r="A8" s="14" t="s">
        <v>210</v>
      </c>
      <c r="B8" s="12" t="s">
        <v>211</v>
      </c>
      <c r="C8" s="16" t="n">
        <v>1</v>
      </c>
      <c r="D8" s="12" t="s">
        <v>122</v>
      </c>
      <c r="E8" s="16" t="n">
        <v>40</v>
      </c>
      <c r="F8" s="16" t="n">
        <v>0</v>
      </c>
      <c r="G8" s="16" t="n">
        <v>48</v>
      </c>
      <c r="H8" s="33"/>
      <c r="I8" s="26"/>
      <c r="J8" s="15"/>
      <c r="K8" s="16" t="n">
        <v>0</v>
      </c>
      <c r="L8" s="12" t="s">
        <v>89</v>
      </c>
      <c r="M8" s="33" t="n">
        <v>0</v>
      </c>
      <c r="N8" s="33" t="n">
        <v>0</v>
      </c>
      <c r="O8" s="33" t="n">
        <v>0</v>
      </c>
      <c r="P8" s="33" t="n">
        <v>0</v>
      </c>
      <c r="Q8" s="12" t="s">
        <v>89</v>
      </c>
      <c r="R8" s="33"/>
      <c r="S8" s="34" t="n">
        <f aca="false">MAX(0,E8-F8)*G8</f>
        <v>1920</v>
      </c>
      <c r="T8" s="27" t="n">
        <f aca="false">(M8+N8+O8+P8)*12</f>
        <v>0</v>
      </c>
      <c r="U8" s="28"/>
    </row>
    <row r="9" customFormat="false" ht="15" hidden="false" customHeight="false" outlineLevel="0" collapsed="false">
      <c r="A9" s="14" t="s">
        <v>212</v>
      </c>
      <c r="B9" s="12" t="s">
        <v>213</v>
      </c>
      <c r="C9" s="16" t="n">
        <v>1</v>
      </c>
      <c r="D9" s="12" t="s">
        <v>122</v>
      </c>
      <c r="E9" s="16" t="n">
        <v>40</v>
      </c>
      <c r="F9" s="16" t="n">
        <v>0</v>
      </c>
      <c r="G9" s="16" t="n">
        <v>48</v>
      </c>
      <c r="H9" s="33"/>
      <c r="I9" s="26"/>
      <c r="J9" s="15"/>
      <c r="K9" s="16" t="n">
        <v>0</v>
      </c>
      <c r="L9" s="12" t="s">
        <v>89</v>
      </c>
      <c r="M9" s="33" t="n">
        <v>0</v>
      </c>
      <c r="N9" s="33" t="n">
        <v>0</v>
      </c>
      <c r="O9" s="33" t="n">
        <v>0</v>
      </c>
      <c r="P9" s="33" t="n">
        <v>0</v>
      </c>
      <c r="Q9" s="12" t="s">
        <v>89</v>
      </c>
      <c r="R9" s="33"/>
      <c r="S9" s="34" t="n">
        <f aca="false">MAX(0,E9-F9)*G9</f>
        <v>1920</v>
      </c>
      <c r="T9" s="27" t="n">
        <f aca="false">(M9+N9+O9+P9)*12</f>
        <v>0</v>
      </c>
      <c r="U9" s="28"/>
    </row>
    <row r="10" customFormat="false" ht="15" hidden="false" customHeight="false" outlineLevel="0" collapsed="false">
      <c r="A10" s="14" t="s">
        <v>214</v>
      </c>
      <c r="B10" s="12" t="s">
        <v>215</v>
      </c>
      <c r="C10" s="16" t="n">
        <v>1</v>
      </c>
      <c r="D10" s="12" t="s">
        <v>216</v>
      </c>
      <c r="E10" s="16" t="n">
        <v>0</v>
      </c>
      <c r="F10" s="16" t="n">
        <v>0</v>
      </c>
      <c r="G10" s="16" t="n">
        <v>48</v>
      </c>
      <c r="H10" s="33"/>
      <c r="I10" s="26"/>
      <c r="J10" s="15"/>
      <c r="K10" s="16" t="n">
        <v>0</v>
      </c>
      <c r="L10" s="12" t="s">
        <v>89</v>
      </c>
      <c r="M10" s="33" t="n">
        <v>0</v>
      </c>
      <c r="N10" s="33" t="n">
        <v>0</v>
      </c>
      <c r="O10" s="33" t="n">
        <v>0</v>
      </c>
      <c r="P10" s="33" t="n">
        <v>0</v>
      </c>
      <c r="Q10" s="12" t="s">
        <v>89</v>
      </c>
      <c r="R10" s="33"/>
      <c r="S10" s="34" t="n">
        <f aca="false">MAX(0,E10-F10)*G10</f>
        <v>0</v>
      </c>
      <c r="T10" s="27" t="n">
        <f aca="false">(M10+N10+O10+P10)*12</f>
        <v>0</v>
      </c>
      <c r="U10" s="28" t="s">
        <v>217</v>
      </c>
    </row>
    <row r="11" customFormat="false" ht="15" hidden="false" customHeight="false" outlineLevel="0" collapsed="false">
      <c r="A11" s="14" t="s">
        <v>218</v>
      </c>
      <c r="B11" s="12" t="s">
        <v>219</v>
      </c>
      <c r="C11" s="16" t="n">
        <v>1</v>
      </c>
      <c r="D11" s="12" t="s">
        <v>216</v>
      </c>
      <c r="E11" s="16" t="n">
        <v>0</v>
      </c>
      <c r="F11" s="16" t="n">
        <v>0</v>
      </c>
      <c r="G11" s="16" t="n">
        <v>48</v>
      </c>
      <c r="H11" s="33"/>
      <c r="I11" s="26"/>
      <c r="J11" s="15"/>
      <c r="K11" s="16" t="n">
        <v>0</v>
      </c>
      <c r="L11" s="12" t="s">
        <v>89</v>
      </c>
      <c r="M11" s="33" t="n">
        <v>0</v>
      </c>
      <c r="N11" s="33" t="n">
        <v>0</v>
      </c>
      <c r="O11" s="33" t="n">
        <v>0</v>
      </c>
      <c r="P11" s="33" t="n">
        <v>0</v>
      </c>
      <c r="Q11" s="12" t="s">
        <v>89</v>
      </c>
      <c r="R11" s="33"/>
      <c r="S11" s="34" t="n">
        <f aca="false">MAX(0,E11-F11)*G11</f>
        <v>0</v>
      </c>
      <c r="T11" s="27" t="n">
        <f aca="false">(M11+N11+O11+P11)*12</f>
        <v>0</v>
      </c>
      <c r="U11" s="28"/>
    </row>
    <row r="12" customFormat="false" ht="15" hidden="false" customHeight="false" outlineLevel="0" collapsed="false">
      <c r="A12" s="14" t="s">
        <v>220</v>
      </c>
      <c r="B12" s="12" t="s">
        <v>221</v>
      </c>
      <c r="C12" s="16" t="n">
        <v>1</v>
      </c>
      <c r="D12" s="12" t="s">
        <v>216</v>
      </c>
      <c r="E12" s="16" t="n">
        <v>0</v>
      </c>
      <c r="F12" s="16" t="n">
        <v>0</v>
      </c>
      <c r="G12" s="16" t="n">
        <v>48</v>
      </c>
      <c r="H12" s="33"/>
      <c r="I12" s="26"/>
      <c r="J12" s="15"/>
      <c r="K12" s="16" t="n">
        <v>0</v>
      </c>
      <c r="L12" s="12" t="s">
        <v>89</v>
      </c>
      <c r="M12" s="33" t="n">
        <v>0</v>
      </c>
      <c r="N12" s="33" t="n">
        <v>0</v>
      </c>
      <c r="O12" s="33" t="n">
        <v>0</v>
      </c>
      <c r="P12" s="33" t="n">
        <v>0</v>
      </c>
      <c r="Q12" s="12" t="s">
        <v>89</v>
      </c>
      <c r="R12" s="33"/>
      <c r="S12" s="34" t="n">
        <f aca="false">MAX(0,E12-F12)*G12</f>
        <v>0</v>
      </c>
      <c r="T12" s="27" t="n">
        <f aca="false">(M12+N12+O12+P12)*12</f>
        <v>0</v>
      </c>
      <c r="U12" s="28"/>
    </row>
    <row r="13" customFormat="false" ht="15" hidden="false" customHeight="false" outlineLevel="0" collapsed="false">
      <c r="A13" s="14" t="s">
        <v>222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34" t="n">
        <f aca="false">MAX(0,E13-F13)*G13</f>
        <v>0</v>
      </c>
      <c r="T13" s="27" t="n">
        <f aca="false">(M13+N13+O13+P13)*12</f>
        <v>0</v>
      </c>
      <c r="U13" s="29"/>
    </row>
    <row r="14" customFormat="false" ht="15" hidden="false" customHeight="false" outlineLevel="0" collapsed="false">
      <c r="A14" s="14" t="s">
        <v>223</v>
      </c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34" t="n">
        <f aca="false">MAX(0,E14-F14)*G14</f>
        <v>0</v>
      </c>
      <c r="T14" s="27" t="n">
        <f aca="false">(M14+N14+O14+P14)*12</f>
        <v>0</v>
      </c>
      <c r="U14" s="29"/>
    </row>
    <row r="15" customFormat="false" ht="15" hidden="false" customHeight="false" outlineLevel="0" collapsed="false">
      <c r="A15" s="14" t="s">
        <v>224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34" t="n">
        <f aca="false">MAX(0,E15-F15)*G15</f>
        <v>0</v>
      </c>
      <c r="T15" s="27" t="n">
        <f aca="false">(M15+N15+O15+P15)*12</f>
        <v>0</v>
      </c>
      <c r="U15" s="29"/>
    </row>
    <row r="16" customFormat="false" ht="15" hidden="false" customHeight="false" outlineLevel="0" collapsed="false">
      <c r="A16" s="14" t="s">
        <v>225</v>
      </c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34" t="n">
        <f aca="false">MAX(0,E16-F16)*G16</f>
        <v>0</v>
      </c>
      <c r="T16" s="27" t="n">
        <f aca="false">(M16+N16+O16+P16)*12</f>
        <v>0</v>
      </c>
      <c r="U16" s="29"/>
    </row>
    <row r="17" customFormat="false" ht="15" hidden="false" customHeight="false" outlineLevel="0" collapsed="false">
      <c r="A17" s="14" t="s">
        <v>226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34" t="n">
        <f aca="false">MAX(0,E17-F17)*G17</f>
        <v>0</v>
      </c>
      <c r="T17" s="27" t="n">
        <f aca="false">(M17+N17+O17+P17)*12</f>
        <v>0</v>
      </c>
      <c r="U17" s="29"/>
    </row>
    <row r="18" customFormat="false" ht="15" hidden="false" customHeight="false" outlineLevel="0" collapsed="false">
      <c r="A18" s="14" t="s">
        <v>227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34" t="n">
        <f aca="false">MAX(0,E18-F18)*G18</f>
        <v>0</v>
      </c>
      <c r="T18" s="27" t="n">
        <f aca="false">(M18+N18+O18+P18)*12</f>
        <v>0</v>
      </c>
      <c r="U18" s="29"/>
    </row>
    <row r="19" customFormat="false" ht="15" hidden="false" customHeight="false" outlineLevel="0" collapsed="false">
      <c r="A19" s="14" t="s">
        <v>228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34" t="n">
        <f aca="false">MAX(0,E19-F19)*G19</f>
        <v>0</v>
      </c>
      <c r="T19" s="27" t="n">
        <f aca="false">(M19+N19+O19+P19)*12</f>
        <v>0</v>
      </c>
      <c r="U19" s="29"/>
    </row>
    <row r="20" customFormat="false" ht="15" hidden="false" customHeight="false" outlineLevel="0" collapsed="false">
      <c r="A20" s="14" t="s">
        <v>229</v>
      </c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34" t="n">
        <f aca="false">MAX(0,E20-F20)*G20</f>
        <v>0</v>
      </c>
      <c r="T20" s="27" t="n">
        <f aca="false">(M20+N20+O20+P20)*12</f>
        <v>0</v>
      </c>
      <c r="U20" s="29"/>
    </row>
    <row r="21" customFormat="false" ht="15" hidden="false" customHeight="false" outlineLevel="0" collapsed="false">
      <c r="A21" s="14" t="s">
        <v>230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34" t="n">
        <f aca="false">MAX(0,E21-F21)*G21</f>
        <v>0</v>
      </c>
      <c r="T21" s="27" t="n">
        <f aca="false">(M21+N21+O21+P21)*12</f>
        <v>0</v>
      </c>
      <c r="U21" s="29"/>
    </row>
    <row r="22" customFormat="false" ht="15" hidden="false" customHeight="false" outlineLevel="0" collapsed="false">
      <c r="A22" s="14" t="s">
        <v>231</v>
      </c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34" t="n">
        <f aca="false">MAX(0,E22-F22)*G22</f>
        <v>0</v>
      </c>
      <c r="T22" s="27" t="n">
        <f aca="false">(M22+N22+O22+P22)*12</f>
        <v>0</v>
      </c>
      <c r="U22" s="29"/>
    </row>
    <row r="23" customFormat="false" ht="15" hidden="false" customHeight="false" outlineLevel="0" collapsed="false">
      <c r="A23" s="14" t="s">
        <v>232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34" t="n">
        <f aca="false">MAX(0,E23-F23)*G23</f>
        <v>0</v>
      </c>
      <c r="T23" s="27" t="n">
        <f aca="false">(M23+N23+O23+P23)*12</f>
        <v>0</v>
      </c>
      <c r="U23" s="29"/>
    </row>
    <row r="24" customFormat="false" ht="15" hidden="false" customHeight="false" outlineLevel="0" collapsed="false">
      <c r="A24" s="14" t="s">
        <v>233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34" t="n">
        <f aca="false">MAX(0,E24-F24)*G24</f>
        <v>0</v>
      </c>
      <c r="T24" s="27" t="n">
        <f aca="false">(M24+N24+O24+P24)*12</f>
        <v>0</v>
      </c>
      <c r="U24" s="29"/>
    </row>
    <row r="25" customFormat="false" ht="15" hidden="false" customHeight="false" outlineLevel="0" collapsed="false">
      <c r="A25" s="14" t="s">
        <v>234</v>
      </c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34" t="n">
        <f aca="false">MAX(0,E25-F25)*G25</f>
        <v>0</v>
      </c>
      <c r="T25" s="27" t="n">
        <f aca="false">(M25+N25+O25+P25)*12</f>
        <v>0</v>
      </c>
      <c r="U25" s="29"/>
    </row>
    <row r="27" customFormat="false" ht="15" hidden="false" customHeight="false" outlineLevel="0" collapsed="false">
      <c r="A27" s="2" t="s">
        <v>235</v>
      </c>
    </row>
  </sheetData>
  <dataValidations count="2">
    <dataValidation allowBlank="true" error="Pick from the list" errorStyle="stop" errorTitle="Not in list" operator="between" showDropDown="false" showErrorMessage="false" showInputMessage="false" sqref="D6:D25" type="list">
      <formula1>Lists!$E$2:$E$3</formula1>
      <formula2>0</formula2>
    </dataValidation>
    <dataValidation allowBlank="true" error="Pick from the list" errorStyle="stop" errorTitle="Not in list" operator="between" showDropDown="false" showErrorMessage="false" showInputMessage="false" sqref="L6:L25 Q6:Q2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8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46"/>
    <col collapsed="false" customWidth="true" hidden="false" outlineLevel="0" max="9" min="9" style="0" width="40"/>
  </cols>
  <sheetData>
    <row r="1" customFormat="false" ht="17.35" hidden="false" customHeight="false" outlineLevel="0" collapsed="false">
      <c r="A1" s="1" t="s">
        <v>236</v>
      </c>
    </row>
    <row r="2" customFormat="false" ht="15" hidden="false" customHeight="false" outlineLevel="0" collapsed="false">
      <c r="A2" s="2" t="s">
        <v>237</v>
      </c>
    </row>
    <row r="4" customFormat="false" ht="42" hidden="false" customHeight="true" outlineLevel="0" collapsed="false">
      <c r="A4" s="10" t="s">
        <v>98</v>
      </c>
      <c r="B4" s="10" t="s">
        <v>238</v>
      </c>
      <c r="C4" s="10" t="s">
        <v>239</v>
      </c>
      <c r="D4" s="10" t="s">
        <v>240</v>
      </c>
      <c r="E4" s="10" t="s">
        <v>241</v>
      </c>
      <c r="F4" s="10" t="s">
        <v>242</v>
      </c>
      <c r="G4" s="10" t="s">
        <v>243</v>
      </c>
      <c r="H4" s="10" t="s">
        <v>167</v>
      </c>
      <c r="I4" s="10" t="s">
        <v>118</v>
      </c>
    </row>
    <row r="5" customFormat="false" ht="15" hidden="false" customHeight="false" outlineLevel="0" collapsed="false">
      <c r="A5" s="19" t="s">
        <v>119</v>
      </c>
      <c r="B5" s="19" t="s">
        <v>244</v>
      </c>
      <c r="C5" s="19" t="s">
        <v>245</v>
      </c>
      <c r="D5" s="19" t="s">
        <v>246</v>
      </c>
      <c r="E5" s="19" t="s">
        <v>89</v>
      </c>
      <c r="F5" s="19"/>
      <c r="G5" s="19"/>
      <c r="H5" s="19"/>
      <c r="I5" s="19" t="s">
        <v>204</v>
      </c>
    </row>
    <row r="6" customFormat="false" ht="15" hidden="false" customHeight="false" outlineLevel="0" collapsed="false">
      <c r="A6" s="14" t="s">
        <v>247</v>
      </c>
      <c r="B6" s="12" t="s">
        <v>248</v>
      </c>
      <c r="C6" s="12" t="s">
        <v>245</v>
      </c>
      <c r="D6" s="12" t="s">
        <v>246</v>
      </c>
      <c r="E6" s="12" t="s">
        <v>89</v>
      </c>
      <c r="F6" s="30" t="n">
        <f aca="false">COUNTIFS(Labour_Assign!$A$6:$A$60,A6,Labour_Assign!$C$6:$C$60,"&gt;0")</f>
        <v>0</v>
      </c>
      <c r="G6" s="30" t="n">
        <f aca="false">COUNTIFS(Asset_Assign!$A$6:$A$60,A6)</f>
        <v>2</v>
      </c>
      <c r="H6" s="24" t="str">
        <f aca="false">IF(B6="","",IF(AND(C6="asset_hours",G6=0),"asset_hours group with no assets",IF(F6=0,"no labour assigned",IF(AND(E6="Y",C6&lt;&gt;"asset_hours"),"tie box only applies to asset_hours groups","OK"))))</f>
        <v>no labour assigned</v>
      </c>
      <c r="I6" s="13" t="s">
        <v>249</v>
      </c>
    </row>
    <row r="7" customFormat="false" ht="15" hidden="false" customHeight="false" outlineLevel="0" collapsed="false">
      <c r="A7" s="14" t="s">
        <v>250</v>
      </c>
      <c r="B7" s="12" t="s">
        <v>251</v>
      </c>
      <c r="C7" s="12" t="s">
        <v>245</v>
      </c>
      <c r="D7" s="12" t="s">
        <v>246</v>
      </c>
      <c r="E7" s="12" t="s">
        <v>89</v>
      </c>
      <c r="F7" s="30" t="n">
        <f aca="false">COUNTIFS(Labour_Assign!$A$6:$A$60,A7,Labour_Assign!$C$6:$C$60,"&gt;0")</f>
        <v>0</v>
      </c>
      <c r="G7" s="30" t="n">
        <f aca="false">COUNTIFS(Asset_Assign!$A$6:$A$60,A7)</f>
        <v>2</v>
      </c>
      <c r="H7" s="24" t="str">
        <f aca="false">IF(B7="","",IF(AND(C7="asset_hours",G7=0),"asset_hours group with no assets",IF(F7=0,"no labour assigned",IF(AND(E7="Y",C7&lt;&gt;"asset_hours"),"tie box only applies to asset_hours groups","OK"))))</f>
        <v>no labour assigned</v>
      </c>
      <c r="I7" s="13" t="s">
        <v>252</v>
      </c>
    </row>
    <row r="8" customFormat="false" ht="15" hidden="false" customHeight="false" outlineLevel="0" collapsed="false">
      <c r="A8" s="14" t="s">
        <v>253</v>
      </c>
      <c r="B8" s="12" t="s">
        <v>254</v>
      </c>
      <c r="C8" s="12" t="s">
        <v>255</v>
      </c>
      <c r="D8" s="12" t="s">
        <v>246</v>
      </c>
      <c r="E8" s="12" t="s">
        <v>89</v>
      </c>
      <c r="F8" s="30" t="n">
        <f aca="false">COUNTIFS(Labour_Assign!$A$6:$A$60,A8,Labour_Assign!$C$6:$C$60,"&gt;0")</f>
        <v>0</v>
      </c>
      <c r="G8" s="30" t="n">
        <f aca="false">COUNTIFS(Asset_Assign!$A$6:$A$60,A8)</f>
        <v>0</v>
      </c>
      <c r="H8" s="24" t="str">
        <f aca="false">IF(B8="","",IF(AND(C8="asset_hours",G8=0),"asset_hours group with no assets",IF(F8=0,"no labour assigned",IF(AND(E8="Y",C8&lt;&gt;"asset_hours"),"tie box only applies to asset_hours groups","OK"))))</f>
        <v>no labour assigned</v>
      </c>
      <c r="I8" s="13" t="s">
        <v>256</v>
      </c>
    </row>
    <row r="9" customFormat="false" ht="15" hidden="false" customHeight="false" outlineLevel="0" collapsed="false">
      <c r="A9" s="14" t="s">
        <v>257</v>
      </c>
      <c r="B9" s="12" t="s">
        <v>258</v>
      </c>
      <c r="C9" s="12" t="s">
        <v>255</v>
      </c>
      <c r="D9" s="12" t="s">
        <v>246</v>
      </c>
      <c r="E9" s="12" t="s">
        <v>89</v>
      </c>
      <c r="F9" s="30" t="n">
        <f aca="false">COUNTIFS(Labour_Assign!$A$6:$A$60,A9,Labour_Assign!$C$6:$C$60,"&gt;0")</f>
        <v>0</v>
      </c>
      <c r="G9" s="30" t="n">
        <f aca="false">COUNTIFS(Asset_Assign!$A$6:$A$60,A9)</f>
        <v>0</v>
      </c>
      <c r="H9" s="24" t="str">
        <f aca="false">IF(B9="","",IF(AND(C9="asset_hours",G9=0),"asset_hours group with no assets",IF(F9=0,"no labour assigned",IF(AND(E9="Y",C9&lt;&gt;"asset_hours"),"tie box only applies to asset_hours groups","OK"))))</f>
        <v>no labour assigned</v>
      </c>
      <c r="I9" s="13" t="s">
        <v>259</v>
      </c>
    </row>
    <row r="10" customFormat="false" ht="15" hidden="false" customHeight="false" outlineLevel="0" collapsed="false">
      <c r="A10" s="14" t="s">
        <v>260</v>
      </c>
      <c r="B10" s="12"/>
      <c r="C10" s="12"/>
      <c r="D10" s="12"/>
      <c r="E10" s="12"/>
      <c r="F10" s="30" t="n">
        <f aca="false">COUNTIFS(Labour_Assign!$A$6:$A$60,A10,Labour_Assign!$C$6:$C$60,"&gt;0")</f>
        <v>0</v>
      </c>
      <c r="G10" s="30" t="n">
        <f aca="false">COUNTIFS(Asset_Assign!$A$6:$A$60,A10)</f>
        <v>0</v>
      </c>
      <c r="H10" s="24" t="str">
        <f aca="false">IF(B10="","",IF(AND(C10="asset_hours",G10=0),"asset_hours group with no assets",IF(F10=0,"no labour assigned",IF(AND(E10="Y",C10&lt;&gt;"asset_hours"),"tie box only applies to asset_hours groups","OK"))))</f>
        <v/>
      </c>
      <c r="I10" s="13"/>
    </row>
    <row r="11" customFormat="false" ht="15" hidden="false" customHeight="false" outlineLevel="0" collapsed="false">
      <c r="A11" s="14" t="s">
        <v>261</v>
      </c>
      <c r="B11" s="12"/>
      <c r="C11" s="12"/>
      <c r="D11" s="12"/>
      <c r="E11" s="12"/>
      <c r="F11" s="30" t="n">
        <f aca="false">COUNTIFS(Labour_Assign!$A$6:$A$60,A11,Labour_Assign!$C$6:$C$60,"&gt;0")</f>
        <v>0</v>
      </c>
      <c r="G11" s="30" t="n">
        <f aca="false">COUNTIFS(Asset_Assign!$A$6:$A$60,A11)</f>
        <v>0</v>
      </c>
      <c r="H11" s="24" t="str">
        <f aca="false">IF(B11="","",IF(AND(C11="asset_hours",G11=0),"asset_hours group with no assets",IF(F11=0,"no labour assigned",IF(AND(E11="Y",C11&lt;&gt;"asset_hours"),"tie box only applies to asset_hours groups","OK"))))</f>
        <v/>
      </c>
      <c r="I11" s="13"/>
    </row>
    <row r="12" customFormat="false" ht="15" hidden="false" customHeight="false" outlineLevel="0" collapsed="false">
      <c r="A12" s="14" t="s">
        <v>262</v>
      </c>
      <c r="B12" s="12"/>
      <c r="C12" s="12"/>
      <c r="D12" s="12"/>
      <c r="E12" s="12"/>
      <c r="F12" s="30" t="n">
        <f aca="false">COUNTIFS(Labour_Assign!$A$6:$A$60,A12,Labour_Assign!$C$6:$C$60,"&gt;0")</f>
        <v>0</v>
      </c>
      <c r="G12" s="30" t="n">
        <f aca="false">COUNTIFS(Asset_Assign!$A$6:$A$60,A12)</f>
        <v>0</v>
      </c>
      <c r="H12" s="24" t="str">
        <f aca="false">IF(B12="","",IF(AND(C12="asset_hours",G12=0),"asset_hours group with no assets",IF(F12=0,"no labour assigned",IF(AND(E12="Y",C12&lt;&gt;"asset_hours"),"tie box only applies to asset_hours groups","OK"))))</f>
        <v/>
      </c>
      <c r="I12" s="13"/>
    </row>
    <row r="13" customFormat="false" ht="15" hidden="false" customHeight="false" outlineLevel="0" collapsed="false">
      <c r="A13" s="14" t="s">
        <v>263</v>
      </c>
      <c r="B13" s="12"/>
      <c r="C13" s="12"/>
      <c r="D13" s="12"/>
      <c r="E13" s="12"/>
      <c r="F13" s="30" t="n">
        <f aca="false">COUNTIFS(Labour_Assign!$A$6:$A$60,A13,Labour_Assign!$C$6:$C$60,"&gt;0")</f>
        <v>0</v>
      </c>
      <c r="G13" s="30" t="n">
        <f aca="false">COUNTIFS(Asset_Assign!$A$6:$A$60,A13)</f>
        <v>0</v>
      </c>
      <c r="H13" s="24" t="str">
        <f aca="false">IF(B13="","",IF(AND(C13="asset_hours",G13=0),"asset_hours group with no assets",IF(F13=0,"no labour assigned",IF(AND(E13="Y",C13&lt;&gt;"asset_hours"),"tie box only applies to asset_hours groups","OK"))))</f>
        <v/>
      </c>
      <c r="I13" s="13"/>
    </row>
    <row r="14" customFormat="false" ht="15" hidden="false" customHeight="false" outlineLevel="0" collapsed="false">
      <c r="A14" s="14" t="s">
        <v>264</v>
      </c>
      <c r="B14" s="12"/>
      <c r="C14" s="12"/>
      <c r="D14" s="12"/>
      <c r="E14" s="12"/>
      <c r="F14" s="30" t="n">
        <f aca="false">COUNTIFS(Labour_Assign!$A$6:$A$60,A14,Labour_Assign!$C$6:$C$60,"&gt;0")</f>
        <v>0</v>
      </c>
      <c r="G14" s="30" t="n">
        <f aca="false">COUNTIFS(Asset_Assign!$A$6:$A$60,A14)</f>
        <v>0</v>
      </c>
      <c r="H14" s="24" t="str">
        <f aca="false">IF(B14="","",IF(AND(C14="asset_hours",G14=0),"asset_hours group with no assets",IF(F14=0,"no labour assigned",IF(AND(E14="Y",C14&lt;&gt;"asset_hours"),"tie box only applies to asset_hours groups","OK"))))</f>
        <v/>
      </c>
      <c r="I14" s="13"/>
    </row>
    <row r="15" customFormat="false" ht="15" hidden="false" customHeight="false" outlineLevel="0" collapsed="false">
      <c r="A15" s="14" t="s">
        <v>265</v>
      </c>
      <c r="B15" s="12"/>
      <c r="C15" s="12"/>
      <c r="D15" s="12"/>
      <c r="E15" s="12"/>
      <c r="F15" s="30" t="n">
        <f aca="false">COUNTIFS(Labour_Assign!$A$6:$A$60,A15,Labour_Assign!$C$6:$C$60,"&gt;0")</f>
        <v>0</v>
      </c>
      <c r="G15" s="30" t="n">
        <f aca="false">COUNTIFS(Asset_Assign!$A$6:$A$60,A15)</f>
        <v>0</v>
      </c>
      <c r="H15" s="24" t="str">
        <f aca="false">IF(B15="","",IF(AND(C15="asset_hours",G15=0),"asset_hours group with no assets",IF(F15=0,"no labour assigned",IF(AND(E15="Y",C15&lt;&gt;"asset_hours"),"tie box only applies to asset_hours groups","OK"))))</f>
        <v/>
      </c>
      <c r="I15" s="13"/>
    </row>
    <row r="17" customFormat="false" ht="15" hidden="false" customHeight="false" outlineLevel="0" collapsed="false">
      <c r="A17" s="2" t="s">
        <v>266</v>
      </c>
    </row>
  </sheetData>
  <dataValidations count="3">
    <dataValidation allowBlank="true" error="Pick from the list" errorStyle="stop" errorTitle="Not in list" operator="between" showDropDown="false" showErrorMessage="false" showInputMessage="false" sqref="C6:C15" type="list">
      <formula1>Lists!$F$2:$F$3</formula1>
      <formula2>0</formula2>
    </dataValidation>
    <dataValidation allowBlank="true" error="Pick from the list" errorStyle="stop" errorTitle="Not in list" operator="between" showDropDown="false" showErrorMessage="false" showInputMessage="false" sqref="D6:D15" type="list">
      <formula1>Lists!$G$2:$G$3</formula1>
      <formula2>0</formula2>
    </dataValidation>
    <dataValidation allowBlank="true" error="Pick from the list" errorStyle="stop" errorTitle="Not in list" operator="between" showDropDown="false" showErrorMessage="false" showInputMessage="false" sqref="E6:E1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267</v>
      </c>
    </row>
    <row r="2" customFormat="false" ht="15" hidden="false" customHeight="false" outlineLevel="0" collapsed="false">
      <c r="A2" s="2" t="s">
        <v>268</v>
      </c>
    </row>
    <row r="4" customFormat="false" ht="42" hidden="false" customHeight="true" outlineLevel="0" collapsed="false">
      <c r="A4" s="10" t="s">
        <v>269</v>
      </c>
      <c r="B4" s="10" t="s">
        <v>99</v>
      </c>
      <c r="C4" s="10" t="s">
        <v>270</v>
      </c>
      <c r="D4" s="10" t="s">
        <v>271</v>
      </c>
      <c r="E4" s="10" t="s">
        <v>272</v>
      </c>
      <c r="F4" s="10" t="s">
        <v>167</v>
      </c>
    </row>
    <row r="5" customFormat="false" ht="15" hidden="false" customHeight="false" outlineLevel="0" collapsed="false">
      <c r="A5" s="19" t="s">
        <v>119</v>
      </c>
      <c r="B5" s="19" t="s">
        <v>120</v>
      </c>
      <c r="C5" s="20" t="n">
        <v>50</v>
      </c>
      <c r="D5" s="19" t="s">
        <v>248</v>
      </c>
      <c r="E5" s="20" t="n">
        <v>100</v>
      </c>
      <c r="F5" s="19" t="s">
        <v>204</v>
      </c>
    </row>
    <row r="6" customFormat="false" ht="15" hidden="false" customHeight="false" outlineLevel="0" collapsed="false">
      <c r="A6" s="12" t="s">
        <v>247</v>
      </c>
      <c r="B6" s="12" t="s">
        <v>120</v>
      </c>
      <c r="C6" s="16"/>
      <c r="D6" s="24" t="str">
        <f aca="false">IF(A6="","",IFERROR(INDEX(Groups!$B$6:$B$15,MATCH(A6,Groups!$A$6:$A$15,0)),"UNKNOWN GROUP"))</f>
        <v>Asset unit 1</v>
      </c>
      <c r="E6" s="30" t="n">
        <f aca="false">IF(B6="","",SUMIFS($C$6:$C$60,$B$6:$B$60,B6))</f>
        <v>0</v>
      </c>
      <c r="F6" s="24" t="str">
        <f aca="false">IF(B6="","",IF(COUNTIFS(Staff!$B$6:$B$30,B6)=0,"type not on Staff",IF(C6&lt;&gt;INT(C6),"not a whole number - app rounds it",IF(E6&gt;100,"type over 100% across groups",IF(E6&lt;100,"type under 100% - unassigned cost","OK")))))</f>
        <v>type under 100% - unassigned cost</v>
      </c>
    </row>
    <row r="7" customFormat="false" ht="15" hidden="false" customHeight="false" outlineLevel="0" collapsed="false">
      <c r="A7" s="12" t="s">
        <v>250</v>
      </c>
      <c r="B7" s="12" t="s">
        <v>120</v>
      </c>
      <c r="C7" s="16"/>
      <c r="D7" s="24" t="str">
        <f aca="false">IF(A7="","",IFERROR(INDEX(Groups!$B$6:$B$15,MATCH(A7,Groups!$A$6:$A$15,0)),"UNKNOWN GROUP"))</f>
        <v>Asset unit 2</v>
      </c>
      <c r="E7" s="30" t="n">
        <f aca="false">IF(B7="","",SUMIFS($C$6:$C$60,$B$6:$B$60,B7))</f>
        <v>0</v>
      </c>
      <c r="F7" s="24" t="str">
        <f aca="false">IF(B7="","",IF(COUNTIFS(Staff!$B$6:$B$30,B7)=0,"type not on Staff",IF(C7&lt;&gt;INT(C7),"not a whole number - app rounds it",IF(E7&gt;100,"type over 100% across groups",IF(E7&lt;100,"type under 100% - unassigned cost","OK")))))</f>
        <v>type under 100% - unassigned cost</v>
      </c>
    </row>
    <row r="8" customFormat="false" ht="15" hidden="false" customHeight="false" outlineLevel="0" collapsed="false">
      <c r="A8" s="12" t="s">
        <v>253</v>
      </c>
      <c r="B8" s="12" t="s">
        <v>120</v>
      </c>
      <c r="C8" s="16"/>
      <c r="D8" s="24" t="str">
        <f aca="false">IF(A8="","",IFERROR(INDEX(Groups!$B$6:$B$15,MATCH(A8,Groups!$A$6:$A$15,0)),"UNKNOWN GROUP"))</f>
        <v>Labour crew</v>
      </c>
      <c r="E8" s="30" t="n">
        <f aca="false">IF(B8="","",SUMIFS($C$6:$C$60,$B$6:$B$60,B8))</f>
        <v>0</v>
      </c>
      <c r="F8" s="24" t="str">
        <f aca="false">IF(B8="","",IF(COUNTIFS(Staff!$B$6:$B$30,B8)=0,"type not on Staff",IF(C8&lt;&gt;INT(C8),"not a whole number - app rounds it",IF(E8&gt;100,"type over 100% across groups",IF(E8&lt;100,"type under 100% - unassigned cost","OK")))))</f>
        <v>type under 100% - unassigned cost</v>
      </c>
    </row>
    <row r="9" customFormat="false" ht="15" hidden="false" customHeight="false" outlineLevel="0" collapsed="false">
      <c r="A9" s="12" t="s">
        <v>247</v>
      </c>
      <c r="B9" s="12" t="s">
        <v>127</v>
      </c>
      <c r="C9" s="16"/>
      <c r="D9" s="24" t="str">
        <f aca="false">IF(A9="","",IFERROR(INDEX(Groups!$B$6:$B$15,MATCH(A9,Groups!$A$6:$A$15,0)),"UNKNOWN GROUP"))</f>
        <v>Asset unit 1</v>
      </c>
      <c r="E9" s="30" t="n">
        <f aca="false">IF(B9="","",SUMIFS($C$6:$C$60,$B$6:$B$60,B9))</f>
        <v>0</v>
      </c>
      <c r="F9" s="24" t="str">
        <f aca="false">IF(B9="","",IF(COUNTIFS(Staff!$B$6:$B$30,B9)=0,"type not on Staff",IF(C9&lt;&gt;INT(C9),"not a whole number - app rounds it",IF(E9&gt;100,"type over 100% across groups",IF(E9&lt;100,"type under 100% - unassigned cost","OK")))))</f>
        <v>type under 100% - unassigned cost</v>
      </c>
    </row>
    <row r="10" customFormat="false" ht="15" hidden="false" customHeight="false" outlineLevel="0" collapsed="false">
      <c r="A10" s="12" t="s">
        <v>250</v>
      </c>
      <c r="B10" s="12" t="s">
        <v>127</v>
      </c>
      <c r="C10" s="16"/>
      <c r="D10" s="24" t="str">
        <f aca="false">IF(A10="","",IFERROR(INDEX(Groups!$B$6:$B$15,MATCH(A10,Groups!$A$6:$A$15,0)),"UNKNOWN GROUP"))</f>
        <v>Asset unit 2</v>
      </c>
      <c r="E10" s="30" t="n">
        <f aca="false">IF(B10="","",SUMIFS($C$6:$C$60,$B$6:$B$60,B10))</f>
        <v>0</v>
      </c>
      <c r="F10" s="24" t="str">
        <f aca="false">IF(B10="","",IF(COUNTIFS(Staff!$B$6:$B$30,B10)=0,"type not on Staff",IF(C10&lt;&gt;INT(C10),"not a whole number - app rounds it",IF(E10&gt;100,"type over 100% across groups",IF(E10&lt;100,"type under 100% - unassigned cost","OK")))))</f>
        <v>type under 100% - unassigned cost</v>
      </c>
    </row>
    <row r="11" customFormat="false" ht="15" hidden="false" customHeight="false" outlineLevel="0" collapsed="false">
      <c r="A11" s="12" t="s">
        <v>253</v>
      </c>
      <c r="B11" s="12" t="s">
        <v>129</v>
      </c>
      <c r="C11" s="16"/>
      <c r="D11" s="24" t="str">
        <f aca="false">IF(A11="","",IFERROR(INDEX(Groups!$B$6:$B$15,MATCH(A11,Groups!$A$6:$A$15,0)),"UNKNOWN GROUP"))</f>
        <v>Labour crew</v>
      </c>
      <c r="E11" s="30" t="n">
        <f aca="false">IF(B11="","",SUMIFS($C$6:$C$60,$B$6:$B$60,B11))</f>
        <v>0</v>
      </c>
      <c r="F11" s="24" t="str">
        <f aca="false">IF(B11="","",IF(COUNTIFS(Staff!$B$6:$B$30,B11)=0,"type not on Staff",IF(C11&lt;&gt;INT(C11),"not a whole number - app rounds it",IF(E11&gt;100,"type over 100% across groups",IF(E11&lt;100,"type under 100% - unassigned cost","OK")))))</f>
        <v>type under 100% - unassigned cost</v>
      </c>
    </row>
    <row r="12" customFormat="false" ht="15" hidden="false" customHeight="false" outlineLevel="0" collapsed="false">
      <c r="A12" s="12" t="s">
        <v>257</v>
      </c>
      <c r="B12" s="12" t="s">
        <v>131</v>
      </c>
      <c r="C12" s="16"/>
      <c r="D12" s="24" t="str">
        <f aca="false">IF(A12="","",IFERROR(INDEX(Groups!$B$6:$B$15,MATCH(A12,Groups!$A$6:$A$15,0)),"UNKNOWN GROUP"))</f>
        <v>Office and support</v>
      </c>
      <c r="E12" s="30" t="n">
        <f aca="false">IF(B12="","",SUMIFS($C$6:$C$60,$B$6:$B$60,B12))</f>
        <v>0</v>
      </c>
      <c r="F12" s="24" t="str">
        <f aca="false">IF(B12="","",IF(COUNTIFS(Staff!$B$6:$B$30,B12)=0,"type not on Staff",IF(C12&lt;&gt;INT(C12),"not a whole number - app rounds it",IF(E12&gt;100,"type over 100% across groups",IF(E12&lt;100,"type under 100% - unassigned cost","OK")))))</f>
        <v>type under 100% - unassigned cost</v>
      </c>
    </row>
    <row r="13" customFormat="false" ht="15" hidden="false" customHeight="false" outlineLevel="0" collapsed="false">
      <c r="A13" s="12" t="s">
        <v>257</v>
      </c>
      <c r="B13" s="12" t="s">
        <v>135</v>
      </c>
      <c r="C13" s="16"/>
      <c r="D13" s="24" t="str">
        <f aca="false">IF(A13="","",IFERROR(INDEX(Groups!$B$6:$B$15,MATCH(A13,Groups!$A$6:$A$15,0)),"UNKNOWN GROUP"))</f>
        <v>Office and support</v>
      </c>
      <c r="E13" s="30" t="n">
        <f aca="false">IF(B13="","",SUMIFS($C$6:$C$60,$B$6:$B$60,B13))</f>
        <v>0</v>
      </c>
      <c r="F13" s="24" t="str">
        <f aca="false">IF(B13="","",IF(COUNTIFS(Staff!$B$6:$B$30,B13)=0,"type not on Staff",IF(C13&lt;&gt;INT(C13),"not a whole number - app rounds it",IF(E13&gt;100,"type over 100% across groups",IF(E13&lt;100,"type under 100% - unassigned cost","OK")))))</f>
        <v>type under 100% - unassigned cost</v>
      </c>
    </row>
    <row r="14" customFormat="false" ht="15" hidden="false" customHeight="false" outlineLevel="0" collapsed="false">
      <c r="A14" s="12" t="s">
        <v>257</v>
      </c>
      <c r="B14" s="12" t="s">
        <v>138</v>
      </c>
      <c r="C14" s="16"/>
      <c r="D14" s="24" t="str">
        <f aca="false">IF(A14="","",IFERROR(INDEX(Groups!$B$6:$B$15,MATCH(A14,Groups!$A$6:$A$15,0)),"UNKNOWN GROUP"))</f>
        <v>Office and support</v>
      </c>
      <c r="E14" s="30" t="n">
        <f aca="false">IF(B14="","",SUMIFS($C$6:$C$60,$B$6:$B$60,B14))</f>
        <v>0</v>
      </c>
      <c r="F14" s="24" t="str">
        <f aca="false">IF(B14="","",IF(COUNTIFS(Staff!$B$6:$B$30,B14)=0,"type not on Staff",IF(C14&lt;&gt;INT(C14),"not a whole number - app rounds it",IF(E14&gt;100,"type over 100% across groups",IF(E14&lt;100,"type under 100% - unassigned cost","OK")))))</f>
        <v>type under 100% - unassigned cost</v>
      </c>
    </row>
    <row r="15" customFormat="false" ht="15" hidden="false" customHeight="false" outlineLevel="0" collapsed="false">
      <c r="A15" s="12"/>
      <c r="B15" s="12"/>
      <c r="C15" s="16"/>
      <c r="D15" s="24" t="str">
        <f aca="false">IF(A15="","",IFERROR(INDEX(Groups!$B$6:$B$15,MATCH(A15,Groups!$A$6:$A$15,0)),"UNKNOWN GROUP"))</f>
        <v/>
      </c>
      <c r="E15" s="30" t="str">
        <f aca="false">IF(B15="","",SUMIFS($C$6:$C$60,$B$6:$B$60,B15))</f>
        <v/>
      </c>
      <c r="F15" s="24" t="str">
        <f aca="false">IF(B15="","",IF(COUNTIFS(Staff!$B$6:$B$30,B15)=0,"type not on Staff",IF(C15&lt;&gt;INT(C15),"not a whole number - app rounds it",IF(E15&gt;100,"type over 100% across groups",IF(E15&lt;100,"type under 100% - unassigned cost","OK")))))</f>
        <v/>
      </c>
    </row>
    <row r="16" customFormat="false" ht="15" hidden="false" customHeight="false" outlineLevel="0" collapsed="false">
      <c r="A16" s="12"/>
      <c r="B16" s="12"/>
      <c r="C16" s="16"/>
      <c r="D16" s="24" t="str">
        <f aca="false">IF(A16="","",IFERROR(INDEX(Groups!$B$6:$B$15,MATCH(A16,Groups!$A$6:$A$15,0)),"UNKNOWN GROUP"))</f>
        <v/>
      </c>
      <c r="E16" s="30" t="str">
        <f aca="false">IF(B16="","",SUMIFS($C$6:$C$60,$B$6:$B$60,B16))</f>
        <v/>
      </c>
      <c r="F16" s="24" t="str">
        <f aca="false">IF(B16="","",IF(COUNTIFS(Staff!$B$6:$B$30,B16)=0,"type not on Staff",IF(C16&lt;&gt;INT(C16),"not a whole number - app rounds it",IF(E16&gt;100,"type over 100% across groups",IF(E16&lt;100,"type under 100% - unassigned cost","OK")))))</f>
        <v/>
      </c>
    </row>
    <row r="17" customFormat="false" ht="15" hidden="false" customHeight="false" outlineLevel="0" collapsed="false">
      <c r="A17" s="12"/>
      <c r="B17" s="12"/>
      <c r="C17" s="16"/>
      <c r="D17" s="24" t="str">
        <f aca="false">IF(A17="","",IFERROR(INDEX(Groups!$B$6:$B$15,MATCH(A17,Groups!$A$6:$A$15,0)),"UNKNOWN GROUP"))</f>
        <v/>
      </c>
      <c r="E17" s="30" t="str">
        <f aca="false">IF(B17="","",SUMIFS($C$6:$C$60,$B$6:$B$60,B17))</f>
        <v/>
      </c>
      <c r="F17" s="24" t="str">
        <f aca="false">IF(B17="","",IF(COUNTIFS(Staff!$B$6:$B$30,B17)=0,"type not on Staff",IF(C17&lt;&gt;INT(C17),"not a whole number - app rounds it",IF(E17&gt;100,"type over 100% across groups",IF(E17&lt;100,"type under 100% - unassigned cost","OK")))))</f>
        <v/>
      </c>
    </row>
    <row r="18" customFormat="false" ht="15" hidden="false" customHeight="false" outlineLevel="0" collapsed="false">
      <c r="A18" s="12"/>
      <c r="B18" s="12"/>
      <c r="C18" s="16"/>
      <c r="D18" s="24" t="str">
        <f aca="false">IF(A18="","",IFERROR(INDEX(Groups!$B$6:$B$15,MATCH(A18,Groups!$A$6:$A$15,0)),"UNKNOWN GROUP"))</f>
        <v/>
      </c>
      <c r="E18" s="30" t="str">
        <f aca="false">IF(B18="","",SUMIFS($C$6:$C$60,$B$6:$B$60,B18))</f>
        <v/>
      </c>
      <c r="F18" s="24" t="str">
        <f aca="false">IF(B18="","",IF(COUNTIFS(Staff!$B$6:$B$30,B18)=0,"type not on Staff",IF(C18&lt;&gt;INT(C18),"not a whole number - app rounds it",IF(E18&gt;100,"type over 100% across groups",IF(E18&lt;100,"type under 100% - unassigned cost","OK")))))</f>
        <v/>
      </c>
    </row>
    <row r="19" customFormat="false" ht="15" hidden="false" customHeight="false" outlineLevel="0" collapsed="false">
      <c r="A19" s="12"/>
      <c r="B19" s="12"/>
      <c r="C19" s="16"/>
      <c r="D19" s="24" t="str">
        <f aca="false">IF(A19="","",IFERROR(INDEX(Groups!$B$6:$B$15,MATCH(A19,Groups!$A$6:$A$15,0)),"UNKNOWN GROUP"))</f>
        <v/>
      </c>
      <c r="E19" s="30" t="str">
        <f aca="false">IF(B19="","",SUMIFS($C$6:$C$60,$B$6:$B$60,B19))</f>
        <v/>
      </c>
      <c r="F19" s="24" t="str">
        <f aca="false">IF(B19="","",IF(COUNTIFS(Staff!$B$6:$B$30,B19)=0,"type not on Staff",IF(C19&lt;&gt;INT(C19),"not a whole number - app rounds it",IF(E19&gt;100,"type over 100% across groups",IF(E19&lt;100,"type under 100% - unassigned cost","OK")))))</f>
        <v/>
      </c>
    </row>
    <row r="20" customFormat="false" ht="15" hidden="false" customHeight="false" outlineLevel="0" collapsed="false">
      <c r="A20" s="12"/>
      <c r="B20" s="12"/>
      <c r="C20" s="16"/>
      <c r="D20" s="24" t="str">
        <f aca="false">IF(A20="","",IFERROR(INDEX(Groups!$B$6:$B$15,MATCH(A20,Groups!$A$6:$A$15,0)),"UNKNOWN GROUP"))</f>
        <v/>
      </c>
      <c r="E20" s="30" t="str">
        <f aca="false">IF(B20="","",SUMIFS($C$6:$C$60,$B$6:$B$60,B20))</f>
        <v/>
      </c>
      <c r="F20" s="24" t="str">
        <f aca="false">IF(B20="","",IF(COUNTIFS(Staff!$B$6:$B$30,B20)=0,"type not on Staff",IF(C20&lt;&gt;INT(C20),"not a whole number - app rounds it",IF(E20&gt;100,"type over 100% across groups",IF(E20&lt;100,"type under 100% - unassigned cost","OK")))))</f>
        <v/>
      </c>
    </row>
    <row r="21" customFormat="false" ht="15" hidden="false" customHeight="false" outlineLevel="0" collapsed="false">
      <c r="A21" s="12"/>
      <c r="B21" s="12"/>
      <c r="C21" s="16"/>
      <c r="D21" s="24" t="str">
        <f aca="false">IF(A21="","",IFERROR(INDEX(Groups!$B$6:$B$15,MATCH(A21,Groups!$A$6:$A$15,0)),"UNKNOWN GROUP"))</f>
        <v/>
      </c>
      <c r="E21" s="30" t="str">
        <f aca="false">IF(B21="","",SUMIFS($C$6:$C$60,$B$6:$B$60,B21))</f>
        <v/>
      </c>
      <c r="F21" s="24" t="str">
        <f aca="false">IF(B21="","",IF(COUNTIFS(Staff!$B$6:$B$30,B21)=0,"type not on Staff",IF(C21&lt;&gt;INT(C21),"not a whole number - app rounds it",IF(E21&gt;100,"type over 100% across groups",IF(E21&lt;100,"type under 100% - unassigned cost","OK")))))</f>
        <v/>
      </c>
    </row>
    <row r="22" customFormat="false" ht="15" hidden="false" customHeight="false" outlineLevel="0" collapsed="false">
      <c r="A22" s="12"/>
      <c r="B22" s="12"/>
      <c r="C22" s="16"/>
      <c r="D22" s="24" t="str">
        <f aca="false">IF(A22="","",IFERROR(INDEX(Groups!$B$6:$B$15,MATCH(A22,Groups!$A$6:$A$15,0)),"UNKNOWN GROUP"))</f>
        <v/>
      </c>
      <c r="E22" s="30" t="str">
        <f aca="false">IF(B22="","",SUMIFS($C$6:$C$60,$B$6:$B$60,B22))</f>
        <v/>
      </c>
      <c r="F22" s="24" t="str">
        <f aca="false">IF(B22="","",IF(COUNTIFS(Staff!$B$6:$B$30,B22)=0,"type not on Staff",IF(C22&lt;&gt;INT(C22),"not a whole number - app rounds it",IF(E22&gt;100,"type over 100% across groups",IF(E22&lt;100,"type under 100% - unassigned cost","OK")))))</f>
        <v/>
      </c>
    </row>
    <row r="23" customFormat="false" ht="15" hidden="false" customHeight="false" outlineLevel="0" collapsed="false">
      <c r="A23" s="12"/>
      <c r="B23" s="12"/>
      <c r="C23" s="16"/>
      <c r="D23" s="24" t="str">
        <f aca="false">IF(A23="","",IFERROR(INDEX(Groups!$B$6:$B$15,MATCH(A23,Groups!$A$6:$A$15,0)),"UNKNOWN GROUP"))</f>
        <v/>
      </c>
      <c r="E23" s="30" t="str">
        <f aca="false">IF(B23="","",SUMIFS($C$6:$C$60,$B$6:$B$60,B23))</f>
        <v/>
      </c>
      <c r="F23" s="24" t="str">
        <f aca="false">IF(B23="","",IF(COUNTIFS(Staff!$B$6:$B$30,B23)=0,"type not on Staff",IF(C23&lt;&gt;INT(C23),"not a whole number - app rounds it",IF(E23&gt;100,"type over 100% across groups",IF(E23&lt;100,"type under 100% - unassigned cost","OK")))))</f>
        <v/>
      </c>
    </row>
    <row r="24" customFormat="false" ht="15" hidden="false" customHeight="false" outlineLevel="0" collapsed="false">
      <c r="A24" s="12"/>
      <c r="B24" s="12"/>
      <c r="C24" s="16"/>
      <c r="D24" s="24" t="str">
        <f aca="false">IF(A24="","",IFERROR(INDEX(Groups!$B$6:$B$15,MATCH(A24,Groups!$A$6:$A$15,0)),"UNKNOWN GROUP"))</f>
        <v/>
      </c>
      <c r="E24" s="30" t="str">
        <f aca="false">IF(B24="","",SUMIFS($C$6:$C$60,$B$6:$B$60,B24))</f>
        <v/>
      </c>
      <c r="F24" s="24" t="str">
        <f aca="false">IF(B24="","",IF(COUNTIFS(Staff!$B$6:$B$30,B24)=0,"type not on Staff",IF(C24&lt;&gt;INT(C24),"not a whole number - app rounds it",IF(E24&gt;100,"type over 100% across groups",IF(E24&lt;100,"type under 100% - unassigned cost","OK")))))</f>
        <v/>
      </c>
    </row>
    <row r="25" customFormat="false" ht="15" hidden="false" customHeight="false" outlineLevel="0" collapsed="false">
      <c r="A25" s="12"/>
      <c r="B25" s="12"/>
      <c r="C25" s="16"/>
      <c r="D25" s="24" t="str">
        <f aca="false">IF(A25="","",IFERROR(INDEX(Groups!$B$6:$B$15,MATCH(A25,Groups!$A$6:$A$15,0)),"UNKNOWN GROUP"))</f>
        <v/>
      </c>
      <c r="E25" s="30" t="str">
        <f aca="false">IF(B25="","",SUMIFS($C$6:$C$60,$B$6:$B$60,B25))</f>
        <v/>
      </c>
      <c r="F25" s="24" t="str">
        <f aca="false">IF(B25="","",IF(COUNTIFS(Staff!$B$6:$B$30,B25)=0,"type not on Staff",IF(C25&lt;&gt;INT(C25),"not a whole number - app rounds it",IF(E25&gt;100,"type over 100% across groups",IF(E25&lt;100,"type under 100% - unassigned cost","OK")))))</f>
        <v/>
      </c>
    </row>
    <row r="26" customFormat="false" ht="15" hidden="false" customHeight="false" outlineLevel="0" collapsed="false">
      <c r="A26" s="12"/>
      <c r="B26" s="12"/>
      <c r="C26" s="16"/>
      <c r="D26" s="24" t="str">
        <f aca="false">IF(A26="","",IFERROR(INDEX(Groups!$B$6:$B$15,MATCH(A26,Groups!$A$6:$A$15,0)),"UNKNOWN GROUP"))</f>
        <v/>
      </c>
      <c r="E26" s="30" t="str">
        <f aca="false">IF(B26="","",SUMIFS($C$6:$C$60,$B$6:$B$60,B26))</f>
        <v/>
      </c>
      <c r="F26" s="24" t="str">
        <f aca="false">IF(B26="","",IF(COUNTIFS(Staff!$B$6:$B$30,B26)=0,"type not on Staff",IF(C26&lt;&gt;INT(C26),"not a whole number - app rounds it",IF(E26&gt;100,"type over 100% across groups",IF(E26&lt;100,"type under 100% - unassigned cost","OK")))))</f>
        <v/>
      </c>
    </row>
    <row r="27" customFormat="false" ht="15" hidden="false" customHeight="false" outlineLevel="0" collapsed="false">
      <c r="A27" s="12"/>
      <c r="B27" s="12"/>
      <c r="C27" s="16"/>
      <c r="D27" s="24" t="str">
        <f aca="false">IF(A27="","",IFERROR(INDEX(Groups!$B$6:$B$15,MATCH(A27,Groups!$A$6:$A$15,0)),"UNKNOWN GROUP"))</f>
        <v/>
      </c>
      <c r="E27" s="30" t="str">
        <f aca="false">IF(B27="","",SUMIFS($C$6:$C$60,$B$6:$B$60,B27))</f>
        <v/>
      </c>
      <c r="F27" s="24" t="str">
        <f aca="false">IF(B27="","",IF(COUNTIFS(Staff!$B$6:$B$30,B27)=0,"type not on Staff",IF(C27&lt;&gt;INT(C27),"not a whole number - app rounds it",IF(E27&gt;100,"type over 100% across groups",IF(E27&lt;100,"type under 100% - unassigned cost","OK")))))</f>
        <v/>
      </c>
    </row>
    <row r="28" customFormat="false" ht="15" hidden="false" customHeight="false" outlineLevel="0" collapsed="false">
      <c r="A28" s="12"/>
      <c r="B28" s="12"/>
      <c r="C28" s="16"/>
      <c r="D28" s="24" t="str">
        <f aca="false">IF(A28="","",IFERROR(INDEX(Groups!$B$6:$B$15,MATCH(A28,Groups!$A$6:$A$15,0)),"UNKNOWN GROUP"))</f>
        <v/>
      </c>
      <c r="E28" s="30" t="str">
        <f aca="false">IF(B28="","",SUMIFS($C$6:$C$60,$B$6:$B$60,B28))</f>
        <v/>
      </c>
      <c r="F28" s="24" t="str">
        <f aca="false">IF(B28="","",IF(COUNTIFS(Staff!$B$6:$B$30,B28)=0,"type not on Staff",IF(C28&lt;&gt;INT(C28),"not a whole number - app rounds it",IF(E28&gt;100,"type over 100% across groups",IF(E28&lt;100,"type under 100% - unassigned cost","OK")))))</f>
        <v/>
      </c>
    </row>
    <row r="29" customFormat="false" ht="15" hidden="false" customHeight="false" outlineLevel="0" collapsed="false">
      <c r="A29" s="12"/>
      <c r="B29" s="12"/>
      <c r="C29" s="16"/>
      <c r="D29" s="24" t="str">
        <f aca="false">IF(A29="","",IFERROR(INDEX(Groups!$B$6:$B$15,MATCH(A29,Groups!$A$6:$A$15,0)),"UNKNOWN GROUP"))</f>
        <v/>
      </c>
      <c r="E29" s="30" t="str">
        <f aca="false">IF(B29="","",SUMIFS($C$6:$C$60,$B$6:$B$60,B29))</f>
        <v/>
      </c>
      <c r="F29" s="24" t="str">
        <f aca="false">IF(B29="","",IF(COUNTIFS(Staff!$B$6:$B$30,B29)=0,"type not on Staff",IF(C29&lt;&gt;INT(C29),"not a whole number - app rounds it",IF(E29&gt;100,"type over 100% across groups",IF(E29&lt;100,"type under 100% - unassigned cost","OK")))))</f>
        <v/>
      </c>
    </row>
    <row r="30" customFormat="false" ht="15" hidden="false" customHeight="false" outlineLevel="0" collapsed="false">
      <c r="A30" s="12"/>
      <c r="B30" s="12"/>
      <c r="C30" s="16"/>
      <c r="D30" s="24" t="str">
        <f aca="false">IF(A30="","",IFERROR(INDEX(Groups!$B$6:$B$15,MATCH(A30,Groups!$A$6:$A$15,0)),"UNKNOWN GROUP"))</f>
        <v/>
      </c>
      <c r="E30" s="30" t="str">
        <f aca="false">IF(B30="","",SUMIFS($C$6:$C$60,$B$6:$B$60,B30))</f>
        <v/>
      </c>
      <c r="F30" s="24" t="str">
        <f aca="false">IF(B30="","",IF(COUNTIFS(Staff!$B$6:$B$30,B30)=0,"type not on Staff",IF(C30&lt;&gt;INT(C30),"not a whole number - app rounds it",IF(E30&gt;100,"type over 100% across groups",IF(E30&lt;100,"type under 100% - unassigned cost","OK")))))</f>
        <v/>
      </c>
    </row>
    <row r="31" customFormat="false" ht="15" hidden="false" customHeight="false" outlineLevel="0" collapsed="false">
      <c r="A31" s="12"/>
      <c r="B31" s="12"/>
      <c r="C31" s="16"/>
      <c r="D31" s="24" t="str">
        <f aca="false">IF(A31="","",IFERROR(INDEX(Groups!$B$6:$B$15,MATCH(A31,Groups!$A$6:$A$15,0)),"UNKNOWN GROUP"))</f>
        <v/>
      </c>
      <c r="E31" s="30" t="str">
        <f aca="false">IF(B31="","",SUMIFS($C$6:$C$60,$B$6:$B$60,B31))</f>
        <v/>
      </c>
      <c r="F31" s="24" t="str">
        <f aca="false">IF(B31="","",IF(COUNTIFS(Staff!$B$6:$B$30,B31)=0,"type not on Staff",IF(C31&lt;&gt;INT(C31),"not a whole number - app rounds it",IF(E31&gt;100,"type over 100% across groups",IF(E31&lt;100,"type under 100% - unassigned cost","OK")))))</f>
        <v/>
      </c>
    </row>
    <row r="32" customFormat="false" ht="15" hidden="false" customHeight="false" outlineLevel="0" collapsed="false">
      <c r="A32" s="12"/>
      <c r="B32" s="12"/>
      <c r="C32" s="16"/>
      <c r="D32" s="24" t="str">
        <f aca="false">IF(A32="","",IFERROR(INDEX(Groups!$B$6:$B$15,MATCH(A32,Groups!$A$6:$A$15,0)),"UNKNOWN GROUP"))</f>
        <v/>
      </c>
      <c r="E32" s="30" t="str">
        <f aca="false">IF(B32="","",SUMIFS($C$6:$C$60,$B$6:$B$60,B32))</f>
        <v/>
      </c>
      <c r="F32" s="24" t="str">
        <f aca="false">IF(B32="","",IF(COUNTIFS(Staff!$B$6:$B$30,B32)=0,"type not on Staff",IF(C32&lt;&gt;INT(C32),"not a whole number - app rounds it",IF(E32&gt;100,"type over 100% across groups",IF(E32&lt;100,"type under 100% - unassigned cost","OK")))))</f>
        <v/>
      </c>
    </row>
    <row r="33" customFormat="false" ht="15" hidden="false" customHeight="false" outlineLevel="0" collapsed="false">
      <c r="A33" s="12"/>
      <c r="B33" s="12"/>
      <c r="C33" s="16"/>
      <c r="D33" s="24" t="str">
        <f aca="false">IF(A33="","",IFERROR(INDEX(Groups!$B$6:$B$15,MATCH(A33,Groups!$A$6:$A$15,0)),"UNKNOWN GROUP"))</f>
        <v/>
      </c>
      <c r="E33" s="30" t="str">
        <f aca="false">IF(B33="","",SUMIFS($C$6:$C$60,$B$6:$B$60,B33))</f>
        <v/>
      </c>
      <c r="F33" s="24" t="str">
        <f aca="false">IF(B33="","",IF(COUNTIFS(Staff!$B$6:$B$30,B33)=0,"type not on Staff",IF(C33&lt;&gt;INT(C33),"not a whole number - app rounds it",IF(E33&gt;100,"type over 100% across groups",IF(E33&lt;100,"type under 100% - unassigned cost","OK")))))</f>
        <v/>
      </c>
    </row>
    <row r="34" customFormat="false" ht="15" hidden="false" customHeight="false" outlineLevel="0" collapsed="false">
      <c r="A34" s="12"/>
      <c r="B34" s="12"/>
      <c r="C34" s="16"/>
      <c r="D34" s="24" t="str">
        <f aca="false">IF(A34="","",IFERROR(INDEX(Groups!$B$6:$B$15,MATCH(A34,Groups!$A$6:$A$15,0)),"UNKNOWN GROUP"))</f>
        <v/>
      </c>
      <c r="E34" s="30" t="str">
        <f aca="false">IF(B34="","",SUMIFS($C$6:$C$60,$B$6:$B$60,B34))</f>
        <v/>
      </c>
      <c r="F34" s="24" t="str">
        <f aca="false">IF(B34="","",IF(COUNTIFS(Staff!$B$6:$B$30,B34)=0,"type not on Staff",IF(C34&lt;&gt;INT(C34),"not a whole number - app rounds it",IF(E34&gt;100,"type over 100% across groups",IF(E34&lt;100,"type under 100% - unassigned cost","OK")))))</f>
        <v/>
      </c>
    </row>
    <row r="35" customFormat="false" ht="15" hidden="false" customHeight="false" outlineLevel="0" collapsed="false">
      <c r="A35" s="12"/>
      <c r="B35" s="12"/>
      <c r="C35" s="16"/>
      <c r="D35" s="24" t="str">
        <f aca="false">IF(A35="","",IFERROR(INDEX(Groups!$B$6:$B$15,MATCH(A35,Groups!$A$6:$A$15,0)),"UNKNOWN GROUP"))</f>
        <v/>
      </c>
      <c r="E35" s="30" t="str">
        <f aca="false">IF(B35="","",SUMIFS($C$6:$C$60,$B$6:$B$60,B35))</f>
        <v/>
      </c>
      <c r="F35" s="24" t="str">
        <f aca="false">IF(B35="","",IF(COUNTIFS(Staff!$B$6:$B$30,B35)=0,"type not on Staff",IF(C35&lt;&gt;INT(C35),"not a whole number - app rounds it",IF(E35&gt;100,"type over 100% across groups",IF(E35&lt;100,"type under 100% - unassigned cost","OK")))))</f>
        <v/>
      </c>
    </row>
    <row r="36" customFormat="false" ht="15" hidden="false" customHeight="false" outlineLevel="0" collapsed="false">
      <c r="A36" s="12"/>
      <c r="B36" s="12"/>
      <c r="C36" s="16"/>
      <c r="D36" s="24" t="str">
        <f aca="false">IF(A36="","",IFERROR(INDEX(Groups!$B$6:$B$15,MATCH(A36,Groups!$A$6:$A$15,0)),"UNKNOWN GROUP"))</f>
        <v/>
      </c>
      <c r="E36" s="30" t="str">
        <f aca="false">IF(B36="","",SUMIFS($C$6:$C$60,$B$6:$B$60,B36))</f>
        <v/>
      </c>
      <c r="F36" s="24" t="str">
        <f aca="false">IF(B36="","",IF(COUNTIFS(Staff!$B$6:$B$30,B36)=0,"type not on Staff",IF(C36&lt;&gt;INT(C36),"not a whole number - app rounds it",IF(E36&gt;100,"type over 100% across groups",IF(E36&lt;100,"type under 100% - unassigned cost","OK")))))</f>
        <v/>
      </c>
    </row>
    <row r="37" customFormat="false" ht="15" hidden="false" customHeight="false" outlineLevel="0" collapsed="false">
      <c r="A37" s="12"/>
      <c r="B37" s="12"/>
      <c r="C37" s="16"/>
      <c r="D37" s="24" t="str">
        <f aca="false">IF(A37="","",IFERROR(INDEX(Groups!$B$6:$B$15,MATCH(A37,Groups!$A$6:$A$15,0)),"UNKNOWN GROUP"))</f>
        <v/>
      </c>
      <c r="E37" s="30" t="str">
        <f aca="false">IF(B37="","",SUMIFS($C$6:$C$60,$B$6:$B$60,B37))</f>
        <v/>
      </c>
      <c r="F37" s="24" t="str">
        <f aca="false">IF(B37="","",IF(COUNTIFS(Staff!$B$6:$B$30,B37)=0,"type not on Staff",IF(C37&lt;&gt;INT(C37),"not a whole number - app rounds it",IF(E37&gt;100,"type over 100% across groups",IF(E37&lt;100,"type under 100% - unassigned cost","OK")))))</f>
        <v/>
      </c>
    </row>
    <row r="38" customFormat="false" ht="15" hidden="false" customHeight="false" outlineLevel="0" collapsed="false">
      <c r="A38" s="12"/>
      <c r="B38" s="12"/>
      <c r="C38" s="16"/>
      <c r="D38" s="24" t="str">
        <f aca="false">IF(A38="","",IFERROR(INDEX(Groups!$B$6:$B$15,MATCH(A38,Groups!$A$6:$A$15,0)),"UNKNOWN GROUP"))</f>
        <v/>
      </c>
      <c r="E38" s="30" t="str">
        <f aca="false">IF(B38="","",SUMIFS($C$6:$C$60,$B$6:$B$60,B38))</f>
        <v/>
      </c>
      <c r="F38" s="24" t="str">
        <f aca="false">IF(B38="","",IF(COUNTIFS(Staff!$B$6:$B$30,B38)=0,"type not on Staff",IF(C38&lt;&gt;INT(C38),"not a whole number - app rounds it",IF(E38&gt;100,"type over 100% across groups",IF(E38&lt;100,"type under 100% - unassigned cost","OK")))))</f>
        <v/>
      </c>
    </row>
    <row r="39" customFormat="false" ht="15" hidden="false" customHeight="false" outlineLevel="0" collapsed="false">
      <c r="A39" s="12"/>
      <c r="B39" s="12"/>
      <c r="C39" s="16"/>
      <c r="D39" s="24" t="str">
        <f aca="false">IF(A39="","",IFERROR(INDEX(Groups!$B$6:$B$15,MATCH(A39,Groups!$A$6:$A$15,0)),"UNKNOWN GROUP"))</f>
        <v/>
      </c>
      <c r="E39" s="30" t="str">
        <f aca="false">IF(B39="","",SUMIFS($C$6:$C$60,$B$6:$B$60,B39))</f>
        <v/>
      </c>
      <c r="F39" s="24" t="str">
        <f aca="false">IF(B39="","",IF(COUNTIFS(Staff!$B$6:$B$30,B39)=0,"type not on Staff",IF(C39&lt;&gt;INT(C39),"not a whole number - app rounds it",IF(E39&gt;100,"type over 100% across groups",IF(E39&lt;100,"type under 100% - unassigned cost","OK")))))</f>
        <v/>
      </c>
    </row>
    <row r="40" customFormat="false" ht="15" hidden="false" customHeight="false" outlineLevel="0" collapsed="false">
      <c r="A40" s="12"/>
      <c r="B40" s="12"/>
      <c r="C40" s="16"/>
      <c r="D40" s="24" t="str">
        <f aca="false">IF(A40="","",IFERROR(INDEX(Groups!$B$6:$B$15,MATCH(A40,Groups!$A$6:$A$15,0)),"UNKNOWN GROUP"))</f>
        <v/>
      </c>
      <c r="E40" s="30" t="str">
        <f aca="false">IF(B40="","",SUMIFS($C$6:$C$60,$B$6:$B$60,B40))</f>
        <v/>
      </c>
      <c r="F40" s="24" t="str">
        <f aca="false">IF(B40="","",IF(COUNTIFS(Staff!$B$6:$B$30,B40)=0,"type not on Staff",IF(C40&lt;&gt;INT(C40),"not a whole number - app rounds it",IF(E40&gt;100,"type over 100% across groups",IF(E40&lt;100,"type under 100% - unassigned cost","OK")))))</f>
        <v/>
      </c>
    </row>
    <row r="41" customFormat="false" ht="15" hidden="false" customHeight="false" outlineLevel="0" collapsed="false">
      <c r="A41" s="12"/>
      <c r="B41" s="12"/>
      <c r="C41" s="16"/>
      <c r="D41" s="24" t="str">
        <f aca="false">IF(A41="","",IFERROR(INDEX(Groups!$B$6:$B$15,MATCH(A41,Groups!$A$6:$A$15,0)),"UNKNOWN GROUP"))</f>
        <v/>
      </c>
      <c r="E41" s="30" t="str">
        <f aca="false">IF(B41="","",SUMIFS($C$6:$C$60,$B$6:$B$60,B41))</f>
        <v/>
      </c>
      <c r="F41" s="24" t="str">
        <f aca="false">IF(B41="","",IF(COUNTIFS(Staff!$B$6:$B$30,B41)=0,"type not on Staff",IF(C41&lt;&gt;INT(C41),"not a whole number - app rounds it",IF(E41&gt;100,"type over 100% across groups",IF(E41&lt;100,"type under 100% - unassigned cost","OK")))))</f>
        <v/>
      </c>
    </row>
    <row r="42" customFormat="false" ht="15" hidden="false" customHeight="false" outlineLevel="0" collapsed="false">
      <c r="A42" s="12"/>
      <c r="B42" s="12"/>
      <c r="C42" s="16"/>
      <c r="D42" s="24" t="str">
        <f aca="false">IF(A42="","",IFERROR(INDEX(Groups!$B$6:$B$15,MATCH(A42,Groups!$A$6:$A$15,0)),"UNKNOWN GROUP"))</f>
        <v/>
      </c>
      <c r="E42" s="30" t="str">
        <f aca="false">IF(B42="","",SUMIFS($C$6:$C$60,$B$6:$B$60,B42))</f>
        <v/>
      </c>
      <c r="F42" s="24" t="str">
        <f aca="false">IF(B42="","",IF(COUNTIFS(Staff!$B$6:$B$30,B42)=0,"type not on Staff",IF(C42&lt;&gt;INT(C42),"not a whole number - app rounds it",IF(E42&gt;100,"type over 100% across groups",IF(E42&lt;100,"type under 100% - unassigned cost","OK")))))</f>
        <v/>
      </c>
    </row>
    <row r="43" customFormat="false" ht="15" hidden="false" customHeight="false" outlineLevel="0" collapsed="false">
      <c r="A43" s="12"/>
      <c r="B43" s="12"/>
      <c r="C43" s="16"/>
      <c r="D43" s="24" t="str">
        <f aca="false">IF(A43="","",IFERROR(INDEX(Groups!$B$6:$B$15,MATCH(A43,Groups!$A$6:$A$15,0)),"UNKNOWN GROUP"))</f>
        <v/>
      </c>
      <c r="E43" s="30" t="str">
        <f aca="false">IF(B43="","",SUMIFS($C$6:$C$60,$B$6:$B$60,B43))</f>
        <v/>
      </c>
      <c r="F43" s="24" t="str">
        <f aca="false">IF(B43="","",IF(COUNTIFS(Staff!$B$6:$B$30,B43)=0,"type not on Staff",IF(C43&lt;&gt;INT(C43),"not a whole number - app rounds it",IF(E43&gt;100,"type over 100% across groups",IF(E43&lt;100,"type under 100% - unassigned cost","OK")))))</f>
        <v/>
      </c>
    </row>
    <row r="44" customFormat="false" ht="15" hidden="false" customHeight="false" outlineLevel="0" collapsed="false">
      <c r="A44" s="12"/>
      <c r="B44" s="12"/>
      <c r="C44" s="16"/>
      <c r="D44" s="24" t="str">
        <f aca="false">IF(A44="","",IFERROR(INDEX(Groups!$B$6:$B$15,MATCH(A44,Groups!$A$6:$A$15,0)),"UNKNOWN GROUP"))</f>
        <v/>
      </c>
      <c r="E44" s="30" t="str">
        <f aca="false">IF(B44="","",SUMIFS($C$6:$C$60,$B$6:$B$60,B44))</f>
        <v/>
      </c>
      <c r="F44" s="24" t="str">
        <f aca="false">IF(B44="","",IF(COUNTIFS(Staff!$B$6:$B$30,B44)=0,"type not on Staff",IF(C44&lt;&gt;INT(C44),"not a whole number - app rounds it",IF(E44&gt;100,"type over 100% across groups",IF(E44&lt;100,"type under 100% - unassigned cost","OK")))))</f>
        <v/>
      </c>
    </row>
    <row r="45" customFormat="false" ht="15" hidden="false" customHeight="false" outlineLevel="0" collapsed="false">
      <c r="A45" s="12"/>
      <c r="B45" s="12"/>
      <c r="C45" s="16"/>
      <c r="D45" s="24" t="str">
        <f aca="false">IF(A45="","",IFERROR(INDEX(Groups!$B$6:$B$15,MATCH(A45,Groups!$A$6:$A$15,0)),"UNKNOWN GROUP"))</f>
        <v/>
      </c>
      <c r="E45" s="30" t="str">
        <f aca="false">IF(B45="","",SUMIFS($C$6:$C$60,$B$6:$B$60,B45))</f>
        <v/>
      </c>
      <c r="F45" s="24" t="str">
        <f aca="false">IF(B45="","",IF(COUNTIFS(Staff!$B$6:$B$30,B45)=0,"type not on Staff",IF(C45&lt;&gt;INT(C45),"not a whole number - app rounds it",IF(E45&gt;100,"type over 100% across groups",IF(E45&lt;100,"type under 100% - unassigned cost","OK")))))</f>
        <v/>
      </c>
    </row>
    <row r="46" customFormat="false" ht="15" hidden="false" customHeight="false" outlineLevel="0" collapsed="false">
      <c r="A46" s="12"/>
      <c r="B46" s="12"/>
      <c r="C46" s="16"/>
      <c r="D46" s="24" t="str">
        <f aca="false">IF(A46="","",IFERROR(INDEX(Groups!$B$6:$B$15,MATCH(A46,Groups!$A$6:$A$15,0)),"UNKNOWN GROUP"))</f>
        <v/>
      </c>
      <c r="E46" s="30" t="str">
        <f aca="false">IF(B46="","",SUMIFS($C$6:$C$60,$B$6:$B$60,B46))</f>
        <v/>
      </c>
      <c r="F46" s="24" t="str">
        <f aca="false">IF(B46="","",IF(COUNTIFS(Staff!$B$6:$B$30,B46)=0,"type not on Staff",IF(C46&lt;&gt;INT(C46),"not a whole number - app rounds it",IF(E46&gt;100,"type over 100% across groups",IF(E46&lt;100,"type under 100% - unassigned cost","OK")))))</f>
        <v/>
      </c>
    </row>
    <row r="47" customFormat="false" ht="15" hidden="false" customHeight="false" outlineLevel="0" collapsed="false">
      <c r="A47" s="12"/>
      <c r="B47" s="12"/>
      <c r="C47" s="16"/>
      <c r="D47" s="24" t="str">
        <f aca="false">IF(A47="","",IFERROR(INDEX(Groups!$B$6:$B$15,MATCH(A47,Groups!$A$6:$A$15,0)),"UNKNOWN GROUP"))</f>
        <v/>
      </c>
      <c r="E47" s="30" t="str">
        <f aca="false">IF(B47="","",SUMIFS($C$6:$C$60,$B$6:$B$60,B47))</f>
        <v/>
      </c>
      <c r="F47" s="24" t="str">
        <f aca="false">IF(B47="","",IF(COUNTIFS(Staff!$B$6:$B$30,B47)=0,"type not on Staff",IF(C47&lt;&gt;INT(C47),"not a whole number - app rounds it",IF(E47&gt;100,"type over 100% across groups",IF(E47&lt;100,"type under 100% - unassigned cost","OK")))))</f>
        <v/>
      </c>
    </row>
    <row r="48" customFormat="false" ht="15" hidden="false" customHeight="false" outlineLevel="0" collapsed="false">
      <c r="A48" s="12"/>
      <c r="B48" s="12"/>
      <c r="C48" s="16"/>
      <c r="D48" s="24" t="str">
        <f aca="false">IF(A48="","",IFERROR(INDEX(Groups!$B$6:$B$15,MATCH(A48,Groups!$A$6:$A$15,0)),"UNKNOWN GROUP"))</f>
        <v/>
      </c>
      <c r="E48" s="30" t="str">
        <f aca="false">IF(B48="","",SUMIFS($C$6:$C$60,$B$6:$B$60,B48))</f>
        <v/>
      </c>
      <c r="F48" s="24" t="str">
        <f aca="false">IF(B48="","",IF(COUNTIFS(Staff!$B$6:$B$30,B48)=0,"type not on Staff",IF(C48&lt;&gt;INT(C48),"not a whole number - app rounds it",IF(E48&gt;100,"type over 100% across groups",IF(E48&lt;100,"type under 100% - unassigned cost","OK")))))</f>
        <v/>
      </c>
    </row>
    <row r="49" customFormat="false" ht="15" hidden="false" customHeight="false" outlineLevel="0" collapsed="false">
      <c r="A49" s="12"/>
      <c r="B49" s="12"/>
      <c r="C49" s="16"/>
      <c r="D49" s="24" t="str">
        <f aca="false">IF(A49="","",IFERROR(INDEX(Groups!$B$6:$B$15,MATCH(A49,Groups!$A$6:$A$15,0)),"UNKNOWN GROUP"))</f>
        <v/>
      </c>
      <c r="E49" s="30" t="str">
        <f aca="false">IF(B49="","",SUMIFS($C$6:$C$60,$B$6:$B$60,B49))</f>
        <v/>
      </c>
      <c r="F49" s="24" t="str">
        <f aca="false">IF(B49="","",IF(COUNTIFS(Staff!$B$6:$B$30,B49)=0,"type not on Staff",IF(C49&lt;&gt;INT(C49),"not a whole number - app rounds it",IF(E49&gt;100,"type over 100% across groups",IF(E49&lt;100,"type under 100% - unassigned cost","OK")))))</f>
        <v/>
      </c>
    </row>
    <row r="50" customFormat="false" ht="15" hidden="false" customHeight="false" outlineLevel="0" collapsed="false">
      <c r="A50" s="12"/>
      <c r="B50" s="12"/>
      <c r="C50" s="16"/>
      <c r="D50" s="24" t="str">
        <f aca="false">IF(A50="","",IFERROR(INDEX(Groups!$B$6:$B$15,MATCH(A50,Groups!$A$6:$A$15,0)),"UNKNOWN GROUP"))</f>
        <v/>
      </c>
      <c r="E50" s="30" t="str">
        <f aca="false">IF(B50="","",SUMIFS($C$6:$C$60,$B$6:$B$60,B50))</f>
        <v/>
      </c>
      <c r="F50" s="24" t="str">
        <f aca="false">IF(B50="","",IF(COUNTIFS(Staff!$B$6:$B$30,B50)=0,"type not on Staff",IF(C50&lt;&gt;INT(C50),"not a whole number - app rounds it",IF(E50&gt;100,"type over 100% across groups",IF(E50&lt;100,"type under 100% - unassigned cost","OK")))))</f>
        <v/>
      </c>
    </row>
    <row r="51" customFormat="false" ht="15" hidden="false" customHeight="false" outlineLevel="0" collapsed="false">
      <c r="A51" s="12"/>
      <c r="B51" s="12"/>
      <c r="C51" s="16"/>
      <c r="D51" s="24" t="str">
        <f aca="false">IF(A51="","",IFERROR(INDEX(Groups!$B$6:$B$15,MATCH(A51,Groups!$A$6:$A$15,0)),"UNKNOWN GROUP"))</f>
        <v/>
      </c>
      <c r="E51" s="30" t="str">
        <f aca="false">IF(B51="","",SUMIFS($C$6:$C$60,$B$6:$B$60,B51))</f>
        <v/>
      </c>
      <c r="F51" s="24" t="str">
        <f aca="false">IF(B51="","",IF(COUNTIFS(Staff!$B$6:$B$30,B51)=0,"type not on Staff",IF(C51&lt;&gt;INT(C51),"not a whole number - app rounds it",IF(E51&gt;100,"type over 100% across groups",IF(E51&lt;100,"type under 100% - unassigned cost","OK")))))</f>
        <v/>
      </c>
    </row>
    <row r="52" customFormat="false" ht="15" hidden="false" customHeight="false" outlineLevel="0" collapsed="false">
      <c r="A52" s="12"/>
      <c r="B52" s="12"/>
      <c r="C52" s="16"/>
      <c r="D52" s="24" t="str">
        <f aca="false">IF(A52="","",IFERROR(INDEX(Groups!$B$6:$B$15,MATCH(A52,Groups!$A$6:$A$15,0)),"UNKNOWN GROUP"))</f>
        <v/>
      </c>
      <c r="E52" s="30" t="str">
        <f aca="false">IF(B52="","",SUMIFS($C$6:$C$60,$B$6:$B$60,B52))</f>
        <v/>
      </c>
      <c r="F52" s="24" t="str">
        <f aca="false">IF(B52="","",IF(COUNTIFS(Staff!$B$6:$B$30,B52)=0,"type not on Staff",IF(C52&lt;&gt;INT(C52),"not a whole number - app rounds it",IF(E52&gt;100,"type over 100% across groups",IF(E52&lt;100,"type under 100% - unassigned cost","OK")))))</f>
        <v/>
      </c>
    </row>
    <row r="53" customFormat="false" ht="15" hidden="false" customHeight="false" outlineLevel="0" collapsed="false">
      <c r="A53" s="12"/>
      <c r="B53" s="12"/>
      <c r="C53" s="16"/>
      <c r="D53" s="24" t="str">
        <f aca="false">IF(A53="","",IFERROR(INDEX(Groups!$B$6:$B$15,MATCH(A53,Groups!$A$6:$A$15,0)),"UNKNOWN GROUP"))</f>
        <v/>
      </c>
      <c r="E53" s="30" t="str">
        <f aca="false">IF(B53="","",SUMIFS($C$6:$C$60,$B$6:$B$60,B53))</f>
        <v/>
      </c>
      <c r="F53" s="24" t="str">
        <f aca="false">IF(B53="","",IF(COUNTIFS(Staff!$B$6:$B$30,B53)=0,"type not on Staff",IF(C53&lt;&gt;INT(C53),"not a whole number - app rounds it",IF(E53&gt;100,"type over 100% across groups",IF(E53&lt;100,"type under 100% - unassigned cost","OK")))))</f>
        <v/>
      </c>
    </row>
    <row r="54" customFormat="false" ht="15" hidden="false" customHeight="false" outlineLevel="0" collapsed="false">
      <c r="A54" s="12"/>
      <c r="B54" s="12"/>
      <c r="C54" s="16"/>
      <c r="D54" s="24" t="str">
        <f aca="false">IF(A54="","",IFERROR(INDEX(Groups!$B$6:$B$15,MATCH(A54,Groups!$A$6:$A$15,0)),"UNKNOWN GROUP"))</f>
        <v/>
      </c>
      <c r="E54" s="30" t="str">
        <f aca="false">IF(B54="","",SUMIFS($C$6:$C$60,$B$6:$B$60,B54))</f>
        <v/>
      </c>
      <c r="F54" s="24" t="str">
        <f aca="false">IF(B54="","",IF(COUNTIFS(Staff!$B$6:$B$30,B54)=0,"type not on Staff",IF(C54&lt;&gt;INT(C54),"not a whole number - app rounds it",IF(E54&gt;100,"type over 100% across groups",IF(E54&lt;100,"type under 100% - unassigned cost","OK")))))</f>
        <v/>
      </c>
    </row>
    <row r="55" customFormat="false" ht="15" hidden="false" customHeight="false" outlineLevel="0" collapsed="false">
      <c r="A55" s="12"/>
      <c r="B55" s="12"/>
      <c r="C55" s="16"/>
      <c r="D55" s="24" t="str">
        <f aca="false">IF(A55="","",IFERROR(INDEX(Groups!$B$6:$B$15,MATCH(A55,Groups!$A$6:$A$15,0)),"UNKNOWN GROUP"))</f>
        <v/>
      </c>
      <c r="E55" s="30" t="str">
        <f aca="false">IF(B55="","",SUMIFS($C$6:$C$60,$B$6:$B$60,B55))</f>
        <v/>
      </c>
      <c r="F55" s="24" t="str">
        <f aca="false">IF(B55="","",IF(COUNTIFS(Staff!$B$6:$B$30,B55)=0,"type not on Staff",IF(C55&lt;&gt;INT(C55),"not a whole number - app rounds it",IF(E55&gt;100,"type over 100% across groups",IF(E55&lt;100,"type under 100% - unassigned cost","OK")))))</f>
        <v/>
      </c>
    </row>
    <row r="56" customFormat="false" ht="15" hidden="false" customHeight="false" outlineLevel="0" collapsed="false">
      <c r="A56" s="12"/>
      <c r="B56" s="12"/>
      <c r="C56" s="16"/>
      <c r="D56" s="24" t="str">
        <f aca="false">IF(A56="","",IFERROR(INDEX(Groups!$B$6:$B$15,MATCH(A56,Groups!$A$6:$A$15,0)),"UNKNOWN GROUP"))</f>
        <v/>
      </c>
      <c r="E56" s="30" t="str">
        <f aca="false">IF(B56="","",SUMIFS($C$6:$C$60,$B$6:$B$60,B56))</f>
        <v/>
      </c>
      <c r="F56" s="24" t="str">
        <f aca="false">IF(B56="","",IF(COUNTIFS(Staff!$B$6:$B$30,B56)=0,"type not on Staff",IF(C56&lt;&gt;INT(C56),"not a whole number - app rounds it",IF(E56&gt;100,"type over 100% across groups",IF(E56&lt;100,"type under 100% - unassigned cost","OK")))))</f>
        <v/>
      </c>
    </row>
    <row r="57" customFormat="false" ht="15" hidden="false" customHeight="false" outlineLevel="0" collapsed="false">
      <c r="A57" s="12"/>
      <c r="B57" s="12"/>
      <c r="C57" s="16"/>
      <c r="D57" s="24" t="str">
        <f aca="false">IF(A57="","",IFERROR(INDEX(Groups!$B$6:$B$15,MATCH(A57,Groups!$A$6:$A$15,0)),"UNKNOWN GROUP"))</f>
        <v/>
      </c>
      <c r="E57" s="30" t="str">
        <f aca="false">IF(B57="","",SUMIFS($C$6:$C$60,$B$6:$B$60,B57))</f>
        <v/>
      </c>
      <c r="F57" s="24" t="str">
        <f aca="false">IF(B57="","",IF(COUNTIFS(Staff!$B$6:$B$30,B57)=0,"type not on Staff",IF(C57&lt;&gt;INT(C57),"not a whole number - app rounds it",IF(E57&gt;100,"type over 100% across groups",IF(E57&lt;100,"type under 100% - unassigned cost","OK")))))</f>
        <v/>
      </c>
    </row>
    <row r="58" customFormat="false" ht="15" hidden="false" customHeight="false" outlineLevel="0" collapsed="false">
      <c r="A58" s="12"/>
      <c r="B58" s="12"/>
      <c r="C58" s="16"/>
      <c r="D58" s="24" t="str">
        <f aca="false">IF(A58="","",IFERROR(INDEX(Groups!$B$6:$B$15,MATCH(A58,Groups!$A$6:$A$15,0)),"UNKNOWN GROUP"))</f>
        <v/>
      </c>
      <c r="E58" s="30" t="str">
        <f aca="false">IF(B58="","",SUMIFS($C$6:$C$60,$B$6:$B$60,B58))</f>
        <v/>
      </c>
      <c r="F58" s="24" t="str">
        <f aca="false">IF(B58="","",IF(COUNTIFS(Staff!$B$6:$B$30,B58)=0,"type not on Staff",IF(C58&lt;&gt;INT(C58),"not a whole number - app rounds it",IF(E58&gt;100,"type over 100% across groups",IF(E58&lt;100,"type under 100% - unassigned cost","OK")))))</f>
        <v/>
      </c>
    </row>
    <row r="59" customFormat="false" ht="15" hidden="false" customHeight="false" outlineLevel="0" collapsed="false">
      <c r="A59" s="12"/>
      <c r="B59" s="12"/>
      <c r="C59" s="16"/>
      <c r="D59" s="24" t="str">
        <f aca="false">IF(A59="","",IFERROR(INDEX(Groups!$B$6:$B$15,MATCH(A59,Groups!$A$6:$A$15,0)),"UNKNOWN GROUP"))</f>
        <v/>
      </c>
      <c r="E59" s="30" t="str">
        <f aca="false">IF(B59="","",SUMIFS($C$6:$C$60,$B$6:$B$60,B59))</f>
        <v/>
      </c>
      <c r="F59" s="24" t="str">
        <f aca="false">IF(B59="","",IF(COUNTIFS(Staff!$B$6:$B$30,B59)=0,"type not on Staff",IF(C59&lt;&gt;INT(C59),"not a whole number - app rounds it",IF(E59&gt;100,"type over 100% across groups",IF(E59&lt;100,"type under 100% - unassigned cost","OK")))))</f>
        <v/>
      </c>
    </row>
    <row r="60" customFormat="false" ht="15" hidden="false" customHeight="false" outlineLevel="0" collapsed="false">
      <c r="A60" s="12"/>
      <c r="B60" s="12"/>
      <c r="C60" s="16"/>
      <c r="D60" s="24" t="str">
        <f aca="false">IF(A60="","",IFERROR(INDEX(Groups!$B$6:$B$15,MATCH(A60,Groups!$A$6:$A$15,0)),"UNKNOWN GROUP"))</f>
        <v/>
      </c>
      <c r="E60" s="30" t="str">
        <f aca="false">IF(B60="","",SUMIFS($C$6:$C$60,$B$6:$B$60,B60))</f>
        <v/>
      </c>
      <c r="F60" s="24" t="str">
        <f aca="false">IF(B60="","",IF(COUNTIFS(Staff!$B$6:$B$30,B60)=0,"type not on Staff",IF(C60&lt;&gt;INT(C60),"not a whole number - app rounds it",IF(E60&gt;100,"type over 100% across groups",IF(E60&lt;100,"type under 100% - unassigned cost","OK")))))</f>
        <v/>
      </c>
    </row>
  </sheetData>
  <dataValidations count="2">
    <dataValidation allowBlank="true" error="Pick from the list" errorStyle="stop" errorTitle="Not in list" operator="between" showDropDown="false" showErrorMessage="false" showInputMessage="false" sqref="A6:A60" type="list">
      <formula1>Groups!$A$6:$A$15</formula1>
      <formula2>0</formula2>
    </dataValidation>
    <dataValidation allowBlank="true" error="Pick from the list" errorStyle="stop" errorTitle="Not in list" operator="between" showDropDown="false" showErrorMessage="false" showInputMessage="false" sqref="B6:B60" type="list">
      <formula1>Lists!$A$2:$A$11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13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273</v>
      </c>
    </row>
    <row r="2" customFormat="false" ht="15" hidden="false" customHeight="false" outlineLevel="0" collapsed="false">
      <c r="A2" s="2" t="s">
        <v>274</v>
      </c>
    </row>
    <row r="4" customFormat="false" ht="42" hidden="false" customHeight="true" outlineLevel="0" collapsed="false">
      <c r="A4" s="10" t="s">
        <v>269</v>
      </c>
      <c r="B4" s="10" t="s">
        <v>275</v>
      </c>
      <c r="C4" s="10" t="s">
        <v>270</v>
      </c>
      <c r="D4" s="10" t="s">
        <v>271</v>
      </c>
      <c r="E4" s="10" t="s">
        <v>276</v>
      </c>
      <c r="F4" s="10" t="s">
        <v>167</v>
      </c>
    </row>
    <row r="5" customFormat="false" ht="15" hidden="false" customHeight="false" outlineLevel="0" collapsed="false">
      <c r="A5" s="19" t="s">
        <v>119</v>
      </c>
      <c r="B5" s="19" t="s">
        <v>205</v>
      </c>
      <c r="C5" s="20" t="n">
        <v>100</v>
      </c>
      <c r="D5" s="19" t="s">
        <v>248</v>
      </c>
      <c r="E5" s="20" t="n">
        <v>100</v>
      </c>
      <c r="F5" s="19" t="s">
        <v>204</v>
      </c>
    </row>
    <row r="6" customFormat="false" ht="15" hidden="false" customHeight="false" outlineLevel="0" collapsed="false">
      <c r="A6" s="12" t="s">
        <v>247</v>
      </c>
      <c r="B6" s="12" t="s">
        <v>205</v>
      </c>
      <c r="C6" s="16" t="n">
        <v>100</v>
      </c>
      <c r="D6" s="24" t="str">
        <f aca="false">IF(A6="","",IFERROR(INDEX(Groups!$B$6:$B$15,MATCH(A6,Groups!$A$6:$A$15,0)),"UNKNOWN GROUP"))</f>
        <v>Asset unit 1</v>
      </c>
      <c r="E6" s="30" t="n">
        <f aca="false">IF(B6="","",SUMIFS($C$6:$C$60,$B$6:$B$60,B6))</f>
        <v>100</v>
      </c>
      <c r="F6" s="24" t="str">
        <f aca="false">IF(B6="","",IF(COUNTIFS(Assets!$A$6:$A$25,B6)=0,"asset not on Assets",IF(E6&gt;100,"asset over 100% across groups (register H7)","OK")))</f>
        <v>OK</v>
      </c>
    </row>
    <row r="7" customFormat="false" ht="15" hidden="false" customHeight="false" outlineLevel="0" collapsed="false">
      <c r="A7" s="12" t="s">
        <v>247</v>
      </c>
      <c r="B7" s="12" t="s">
        <v>208</v>
      </c>
      <c r="C7" s="16" t="n">
        <v>100</v>
      </c>
      <c r="D7" s="24" t="str">
        <f aca="false">IF(A7="","",IFERROR(INDEX(Groups!$B$6:$B$15,MATCH(A7,Groups!$A$6:$A$15,0)),"UNKNOWN GROUP"))</f>
        <v>Asset unit 1</v>
      </c>
      <c r="E7" s="30" t="n">
        <f aca="false">IF(B7="","",SUMIFS($C$6:$C$60,$B$6:$B$60,B7))</f>
        <v>100</v>
      </c>
      <c r="F7" s="24" t="str">
        <f aca="false">IF(B7="","",IF(COUNTIFS(Assets!$A$6:$A$25,B7)=0,"asset not on Assets",IF(E7&gt;100,"asset over 100% across groups (register H7)","OK")))</f>
        <v>OK</v>
      </c>
    </row>
    <row r="8" customFormat="false" ht="15" hidden="false" customHeight="false" outlineLevel="0" collapsed="false">
      <c r="A8" s="12" t="s">
        <v>250</v>
      </c>
      <c r="B8" s="12" t="s">
        <v>210</v>
      </c>
      <c r="C8" s="16" t="n">
        <v>100</v>
      </c>
      <c r="D8" s="24" t="str">
        <f aca="false">IF(A8="","",IFERROR(INDEX(Groups!$B$6:$B$15,MATCH(A8,Groups!$A$6:$A$15,0)),"UNKNOWN GROUP"))</f>
        <v>Asset unit 2</v>
      </c>
      <c r="E8" s="30" t="n">
        <f aca="false">IF(B8="","",SUMIFS($C$6:$C$60,$B$6:$B$60,B8))</f>
        <v>100</v>
      </c>
      <c r="F8" s="24" t="str">
        <f aca="false">IF(B8="","",IF(COUNTIFS(Assets!$A$6:$A$25,B8)=0,"asset not on Assets",IF(E8&gt;100,"asset over 100% across groups (register H7)","OK")))</f>
        <v>OK</v>
      </c>
    </row>
    <row r="9" customFormat="false" ht="15" hidden="false" customHeight="false" outlineLevel="0" collapsed="false">
      <c r="A9" s="12" t="s">
        <v>250</v>
      </c>
      <c r="B9" s="12" t="s">
        <v>212</v>
      </c>
      <c r="C9" s="16" t="n">
        <v>100</v>
      </c>
      <c r="D9" s="24" t="str">
        <f aca="false">IF(A9="","",IFERROR(INDEX(Groups!$B$6:$B$15,MATCH(A9,Groups!$A$6:$A$15,0)),"UNKNOWN GROUP"))</f>
        <v>Asset unit 2</v>
      </c>
      <c r="E9" s="30" t="n">
        <f aca="false">IF(B9="","",SUMIFS($C$6:$C$60,$B$6:$B$60,B9))</f>
        <v>100</v>
      </c>
      <c r="F9" s="24" t="str">
        <f aca="false">IF(B9="","",IF(COUNTIFS(Assets!$A$6:$A$25,B9)=0,"asset not on Assets",IF(E9&gt;100,"asset over 100% across groups (register H7)","OK")))</f>
        <v>OK</v>
      </c>
    </row>
    <row r="10" customFormat="false" ht="15" hidden="false" customHeight="false" outlineLevel="0" collapsed="false">
      <c r="A10" s="12"/>
      <c r="B10" s="12"/>
      <c r="C10" s="16"/>
      <c r="D10" s="24" t="str">
        <f aca="false">IF(A10="","",IFERROR(INDEX(Groups!$B$6:$B$15,MATCH(A10,Groups!$A$6:$A$15,0)),"UNKNOWN GROUP"))</f>
        <v/>
      </c>
      <c r="E10" s="30" t="str">
        <f aca="false">IF(B10="","",SUMIFS($C$6:$C$60,$B$6:$B$60,B10))</f>
        <v/>
      </c>
      <c r="F10" s="24" t="str">
        <f aca="false">IF(B10="","",IF(COUNTIFS(Assets!$A$6:$A$25,B10)=0,"asset not on Assets",IF(E10&gt;100,"asset over 100% across groups (register H7)","OK")))</f>
        <v/>
      </c>
    </row>
    <row r="11" customFormat="false" ht="15" hidden="false" customHeight="false" outlineLevel="0" collapsed="false">
      <c r="A11" s="12"/>
      <c r="B11" s="12"/>
      <c r="C11" s="16"/>
      <c r="D11" s="24" t="str">
        <f aca="false">IF(A11="","",IFERROR(INDEX(Groups!$B$6:$B$15,MATCH(A11,Groups!$A$6:$A$15,0)),"UNKNOWN GROUP"))</f>
        <v/>
      </c>
      <c r="E11" s="30" t="str">
        <f aca="false">IF(B11="","",SUMIFS($C$6:$C$60,$B$6:$B$60,B11))</f>
        <v/>
      </c>
      <c r="F11" s="24" t="str">
        <f aca="false">IF(B11="","",IF(COUNTIFS(Assets!$A$6:$A$25,B11)=0,"asset not on Assets",IF(E11&gt;100,"asset over 100% across groups (register H7)","OK")))</f>
        <v/>
      </c>
    </row>
    <row r="12" customFormat="false" ht="15" hidden="false" customHeight="false" outlineLevel="0" collapsed="false">
      <c r="A12" s="12"/>
      <c r="B12" s="12"/>
      <c r="C12" s="16"/>
      <c r="D12" s="24" t="str">
        <f aca="false">IF(A12="","",IFERROR(INDEX(Groups!$B$6:$B$15,MATCH(A12,Groups!$A$6:$A$15,0)),"UNKNOWN GROUP"))</f>
        <v/>
      </c>
      <c r="E12" s="30" t="str">
        <f aca="false">IF(B12="","",SUMIFS($C$6:$C$60,$B$6:$B$60,B12))</f>
        <v/>
      </c>
      <c r="F12" s="24" t="str">
        <f aca="false">IF(B12="","",IF(COUNTIFS(Assets!$A$6:$A$25,B12)=0,"asset not on Assets",IF(E12&gt;100,"asset over 100% across groups (register H7)","OK")))</f>
        <v/>
      </c>
    </row>
    <row r="13" customFormat="false" ht="15" hidden="false" customHeight="false" outlineLevel="0" collapsed="false">
      <c r="A13" s="12"/>
      <c r="B13" s="12"/>
      <c r="C13" s="16"/>
      <c r="D13" s="24" t="str">
        <f aca="false">IF(A13="","",IFERROR(INDEX(Groups!$B$6:$B$15,MATCH(A13,Groups!$A$6:$A$15,0)),"UNKNOWN GROUP"))</f>
        <v/>
      </c>
      <c r="E13" s="30" t="str">
        <f aca="false">IF(B13="","",SUMIFS($C$6:$C$60,$B$6:$B$60,B13))</f>
        <v/>
      </c>
      <c r="F13" s="24" t="str">
        <f aca="false">IF(B13="","",IF(COUNTIFS(Assets!$A$6:$A$25,B13)=0,"asset not on Assets",IF(E13&gt;100,"asset over 100% across groups (register H7)","OK")))</f>
        <v/>
      </c>
    </row>
    <row r="14" customFormat="false" ht="15" hidden="false" customHeight="false" outlineLevel="0" collapsed="false">
      <c r="A14" s="12"/>
      <c r="B14" s="12"/>
      <c r="C14" s="16"/>
      <c r="D14" s="24" t="str">
        <f aca="false">IF(A14="","",IFERROR(INDEX(Groups!$B$6:$B$15,MATCH(A14,Groups!$A$6:$A$15,0)),"UNKNOWN GROUP"))</f>
        <v/>
      </c>
      <c r="E14" s="30" t="str">
        <f aca="false">IF(B14="","",SUMIFS($C$6:$C$60,$B$6:$B$60,B14))</f>
        <v/>
      </c>
      <c r="F14" s="24" t="str">
        <f aca="false">IF(B14="","",IF(COUNTIFS(Assets!$A$6:$A$25,B14)=0,"asset not on Assets",IF(E14&gt;100,"asset over 100% across groups (register H7)","OK")))</f>
        <v/>
      </c>
    </row>
    <row r="15" customFormat="false" ht="15" hidden="false" customHeight="false" outlineLevel="0" collapsed="false">
      <c r="A15" s="12"/>
      <c r="B15" s="12"/>
      <c r="C15" s="16"/>
      <c r="D15" s="24" t="str">
        <f aca="false">IF(A15="","",IFERROR(INDEX(Groups!$B$6:$B$15,MATCH(A15,Groups!$A$6:$A$15,0)),"UNKNOWN GROUP"))</f>
        <v/>
      </c>
      <c r="E15" s="30" t="str">
        <f aca="false">IF(B15="","",SUMIFS($C$6:$C$60,$B$6:$B$60,B15))</f>
        <v/>
      </c>
      <c r="F15" s="24" t="str">
        <f aca="false">IF(B15="","",IF(COUNTIFS(Assets!$A$6:$A$25,B15)=0,"asset not on Assets",IF(E15&gt;100,"asset over 100% across groups (register H7)","OK")))</f>
        <v/>
      </c>
    </row>
    <row r="16" customFormat="false" ht="15" hidden="false" customHeight="false" outlineLevel="0" collapsed="false">
      <c r="A16" s="12"/>
      <c r="B16" s="12"/>
      <c r="C16" s="16"/>
      <c r="D16" s="24" t="str">
        <f aca="false">IF(A16="","",IFERROR(INDEX(Groups!$B$6:$B$15,MATCH(A16,Groups!$A$6:$A$15,0)),"UNKNOWN GROUP"))</f>
        <v/>
      </c>
      <c r="E16" s="30" t="str">
        <f aca="false">IF(B16="","",SUMIFS($C$6:$C$60,$B$6:$B$60,B16))</f>
        <v/>
      </c>
      <c r="F16" s="24" t="str">
        <f aca="false">IF(B16="","",IF(COUNTIFS(Assets!$A$6:$A$25,B16)=0,"asset not on Assets",IF(E16&gt;100,"asset over 100% across groups (register H7)","OK")))</f>
        <v/>
      </c>
    </row>
    <row r="17" customFormat="false" ht="15" hidden="false" customHeight="false" outlineLevel="0" collapsed="false">
      <c r="A17" s="12"/>
      <c r="B17" s="12"/>
      <c r="C17" s="16"/>
      <c r="D17" s="24" t="str">
        <f aca="false">IF(A17="","",IFERROR(INDEX(Groups!$B$6:$B$15,MATCH(A17,Groups!$A$6:$A$15,0)),"UNKNOWN GROUP"))</f>
        <v/>
      </c>
      <c r="E17" s="30" t="str">
        <f aca="false">IF(B17="","",SUMIFS($C$6:$C$60,$B$6:$B$60,B17))</f>
        <v/>
      </c>
      <c r="F17" s="24" t="str">
        <f aca="false">IF(B17="","",IF(COUNTIFS(Assets!$A$6:$A$25,B17)=0,"asset not on Assets",IF(E17&gt;100,"asset over 100% across groups (register H7)","OK")))</f>
        <v/>
      </c>
    </row>
    <row r="18" customFormat="false" ht="15" hidden="false" customHeight="false" outlineLevel="0" collapsed="false">
      <c r="A18" s="12"/>
      <c r="B18" s="12"/>
      <c r="C18" s="16"/>
      <c r="D18" s="24" t="str">
        <f aca="false">IF(A18="","",IFERROR(INDEX(Groups!$B$6:$B$15,MATCH(A18,Groups!$A$6:$A$15,0)),"UNKNOWN GROUP"))</f>
        <v/>
      </c>
      <c r="E18" s="30" t="str">
        <f aca="false">IF(B18="","",SUMIFS($C$6:$C$60,$B$6:$B$60,B18))</f>
        <v/>
      </c>
      <c r="F18" s="24" t="str">
        <f aca="false">IF(B18="","",IF(COUNTIFS(Assets!$A$6:$A$25,B18)=0,"asset not on Assets",IF(E18&gt;100,"asset over 100% across groups (register H7)","OK")))</f>
        <v/>
      </c>
    </row>
    <row r="19" customFormat="false" ht="15" hidden="false" customHeight="false" outlineLevel="0" collapsed="false">
      <c r="A19" s="12"/>
      <c r="B19" s="12"/>
      <c r="C19" s="16"/>
      <c r="D19" s="24" t="str">
        <f aca="false">IF(A19="","",IFERROR(INDEX(Groups!$B$6:$B$15,MATCH(A19,Groups!$A$6:$A$15,0)),"UNKNOWN GROUP"))</f>
        <v/>
      </c>
      <c r="E19" s="30" t="str">
        <f aca="false">IF(B19="","",SUMIFS($C$6:$C$60,$B$6:$B$60,B19))</f>
        <v/>
      </c>
      <c r="F19" s="24" t="str">
        <f aca="false">IF(B19="","",IF(COUNTIFS(Assets!$A$6:$A$25,B19)=0,"asset not on Assets",IF(E19&gt;100,"asset over 100% across groups (register H7)","OK")))</f>
        <v/>
      </c>
    </row>
    <row r="20" customFormat="false" ht="15" hidden="false" customHeight="false" outlineLevel="0" collapsed="false">
      <c r="A20" s="12"/>
      <c r="B20" s="12"/>
      <c r="C20" s="16"/>
      <c r="D20" s="24" t="str">
        <f aca="false">IF(A20="","",IFERROR(INDEX(Groups!$B$6:$B$15,MATCH(A20,Groups!$A$6:$A$15,0)),"UNKNOWN GROUP"))</f>
        <v/>
      </c>
      <c r="E20" s="30" t="str">
        <f aca="false">IF(B20="","",SUMIFS($C$6:$C$60,$B$6:$B$60,B20))</f>
        <v/>
      </c>
      <c r="F20" s="24" t="str">
        <f aca="false">IF(B20="","",IF(COUNTIFS(Assets!$A$6:$A$25,B20)=0,"asset not on Assets",IF(E20&gt;100,"asset over 100% across groups (register H7)","OK")))</f>
        <v/>
      </c>
    </row>
    <row r="21" customFormat="false" ht="15" hidden="false" customHeight="false" outlineLevel="0" collapsed="false">
      <c r="A21" s="12"/>
      <c r="B21" s="12"/>
      <c r="C21" s="16"/>
      <c r="D21" s="24" t="str">
        <f aca="false">IF(A21="","",IFERROR(INDEX(Groups!$B$6:$B$15,MATCH(A21,Groups!$A$6:$A$15,0)),"UNKNOWN GROUP"))</f>
        <v/>
      </c>
      <c r="E21" s="30" t="str">
        <f aca="false">IF(B21="","",SUMIFS($C$6:$C$60,$B$6:$B$60,B21))</f>
        <v/>
      </c>
      <c r="F21" s="24" t="str">
        <f aca="false">IF(B21="","",IF(COUNTIFS(Assets!$A$6:$A$25,B21)=0,"asset not on Assets",IF(E21&gt;100,"asset over 100% across groups (register H7)","OK")))</f>
        <v/>
      </c>
    </row>
    <row r="22" customFormat="false" ht="15" hidden="false" customHeight="false" outlineLevel="0" collapsed="false">
      <c r="A22" s="12"/>
      <c r="B22" s="12"/>
      <c r="C22" s="16"/>
      <c r="D22" s="24" t="str">
        <f aca="false">IF(A22="","",IFERROR(INDEX(Groups!$B$6:$B$15,MATCH(A22,Groups!$A$6:$A$15,0)),"UNKNOWN GROUP"))</f>
        <v/>
      </c>
      <c r="E22" s="30" t="str">
        <f aca="false">IF(B22="","",SUMIFS($C$6:$C$60,$B$6:$B$60,B22))</f>
        <v/>
      </c>
      <c r="F22" s="24" t="str">
        <f aca="false">IF(B22="","",IF(COUNTIFS(Assets!$A$6:$A$25,B22)=0,"asset not on Assets",IF(E22&gt;100,"asset over 100% across groups (register H7)","OK")))</f>
        <v/>
      </c>
    </row>
    <row r="23" customFormat="false" ht="15" hidden="false" customHeight="false" outlineLevel="0" collapsed="false">
      <c r="A23" s="12"/>
      <c r="B23" s="12"/>
      <c r="C23" s="16"/>
      <c r="D23" s="24" t="str">
        <f aca="false">IF(A23="","",IFERROR(INDEX(Groups!$B$6:$B$15,MATCH(A23,Groups!$A$6:$A$15,0)),"UNKNOWN GROUP"))</f>
        <v/>
      </c>
      <c r="E23" s="30" t="str">
        <f aca="false">IF(B23="","",SUMIFS($C$6:$C$60,$B$6:$B$60,B23))</f>
        <v/>
      </c>
      <c r="F23" s="24" t="str">
        <f aca="false">IF(B23="","",IF(COUNTIFS(Assets!$A$6:$A$25,B23)=0,"asset not on Assets",IF(E23&gt;100,"asset over 100% across groups (register H7)","OK")))</f>
        <v/>
      </c>
    </row>
    <row r="24" customFormat="false" ht="15" hidden="false" customHeight="false" outlineLevel="0" collapsed="false">
      <c r="A24" s="12"/>
      <c r="B24" s="12"/>
      <c r="C24" s="16"/>
      <c r="D24" s="24" t="str">
        <f aca="false">IF(A24="","",IFERROR(INDEX(Groups!$B$6:$B$15,MATCH(A24,Groups!$A$6:$A$15,0)),"UNKNOWN GROUP"))</f>
        <v/>
      </c>
      <c r="E24" s="30" t="str">
        <f aca="false">IF(B24="","",SUMIFS($C$6:$C$60,$B$6:$B$60,B24))</f>
        <v/>
      </c>
      <c r="F24" s="24" t="str">
        <f aca="false">IF(B24="","",IF(COUNTIFS(Assets!$A$6:$A$25,B24)=0,"asset not on Assets",IF(E24&gt;100,"asset over 100% across groups (register H7)","OK")))</f>
        <v/>
      </c>
    </row>
    <row r="25" customFormat="false" ht="15" hidden="false" customHeight="false" outlineLevel="0" collapsed="false">
      <c r="A25" s="12"/>
      <c r="B25" s="12"/>
      <c r="C25" s="16"/>
      <c r="D25" s="24" t="str">
        <f aca="false">IF(A25="","",IFERROR(INDEX(Groups!$B$6:$B$15,MATCH(A25,Groups!$A$6:$A$15,0)),"UNKNOWN GROUP"))</f>
        <v/>
      </c>
      <c r="E25" s="30" t="str">
        <f aca="false">IF(B25="","",SUMIFS($C$6:$C$60,$B$6:$B$60,B25))</f>
        <v/>
      </c>
      <c r="F25" s="24" t="str">
        <f aca="false">IF(B25="","",IF(COUNTIFS(Assets!$A$6:$A$25,B25)=0,"asset not on Assets",IF(E25&gt;100,"asset over 100% across groups (register H7)","OK")))</f>
        <v/>
      </c>
    </row>
    <row r="26" customFormat="false" ht="15" hidden="false" customHeight="false" outlineLevel="0" collapsed="false">
      <c r="A26" s="12"/>
      <c r="B26" s="12"/>
      <c r="C26" s="16"/>
      <c r="D26" s="24" t="str">
        <f aca="false">IF(A26="","",IFERROR(INDEX(Groups!$B$6:$B$15,MATCH(A26,Groups!$A$6:$A$15,0)),"UNKNOWN GROUP"))</f>
        <v/>
      </c>
      <c r="E26" s="30" t="str">
        <f aca="false">IF(B26="","",SUMIFS($C$6:$C$60,$B$6:$B$60,B26))</f>
        <v/>
      </c>
      <c r="F26" s="24" t="str">
        <f aca="false">IF(B26="","",IF(COUNTIFS(Assets!$A$6:$A$25,B26)=0,"asset not on Assets",IF(E26&gt;100,"asset over 100% across groups (register H7)","OK")))</f>
        <v/>
      </c>
    </row>
    <row r="27" customFormat="false" ht="15" hidden="false" customHeight="false" outlineLevel="0" collapsed="false">
      <c r="A27" s="12"/>
      <c r="B27" s="12"/>
      <c r="C27" s="16"/>
      <c r="D27" s="24" t="str">
        <f aca="false">IF(A27="","",IFERROR(INDEX(Groups!$B$6:$B$15,MATCH(A27,Groups!$A$6:$A$15,0)),"UNKNOWN GROUP"))</f>
        <v/>
      </c>
      <c r="E27" s="30" t="str">
        <f aca="false">IF(B27="","",SUMIFS($C$6:$C$60,$B$6:$B$60,B27))</f>
        <v/>
      </c>
      <c r="F27" s="24" t="str">
        <f aca="false">IF(B27="","",IF(COUNTIFS(Assets!$A$6:$A$25,B27)=0,"asset not on Assets",IF(E27&gt;100,"asset over 100% across groups (register H7)","OK")))</f>
        <v/>
      </c>
    </row>
    <row r="28" customFormat="false" ht="15" hidden="false" customHeight="false" outlineLevel="0" collapsed="false">
      <c r="A28" s="12"/>
      <c r="B28" s="12"/>
      <c r="C28" s="16"/>
      <c r="D28" s="24" t="str">
        <f aca="false">IF(A28="","",IFERROR(INDEX(Groups!$B$6:$B$15,MATCH(A28,Groups!$A$6:$A$15,0)),"UNKNOWN GROUP"))</f>
        <v/>
      </c>
      <c r="E28" s="30" t="str">
        <f aca="false">IF(B28="","",SUMIFS($C$6:$C$60,$B$6:$B$60,B28))</f>
        <v/>
      </c>
      <c r="F28" s="24" t="str">
        <f aca="false">IF(B28="","",IF(COUNTIFS(Assets!$A$6:$A$25,B28)=0,"asset not on Assets",IF(E28&gt;100,"asset over 100% across groups (register H7)","OK")))</f>
        <v/>
      </c>
    </row>
    <row r="29" customFormat="false" ht="15" hidden="false" customHeight="false" outlineLevel="0" collapsed="false">
      <c r="A29" s="12"/>
      <c r="B29" s="12"/>
      <c r="C29" s="16"/>
      <c r="D29" s="24" t="str">
        <f aca="false">IF(A29="","",IFERROR(INDEX(Groups!$B$6:$B$15,MATCH(A29,Groups!$A$6:$A$15,0)),"UNKNOWN GROUP"))</f>
        <v/>
      </c>
      <c r="E29" s="30" t="str">
        <f aca="false">IF(B29="","",SUMIFS($C$6:$C$60,$B$6:$B$60,B29))</f>
        <v/>
      </c>
      <c r="F29" s="24" t="str">
        <f aca="false">IF(B29="","",IF(COUNTIFS(Assets!$A$6:$A$25,B29)=0,"asset not on Assets",IF(E29&gt;100,"asset over 100% across groups (register H7)","OK")))</f>
        <v/>
      </c>
    </row>
    <row r="30" customFormat="false" ht="15" hidden="false" customHeight="false" outlineLevel="0" collapsed="false">
      <c r="A30" s="12"/>
      <c r="B30" s="12"/>
      <c r="C30" s="16"/>
      <c r="D30" s="24" t="str">
        <f aca="false">IF(A30="","",IFERROR(INDEX(Groups!$B$6:$B$15,MATCH(A30,Groups!$A$6:$A$15,0)),"UNKNOWN GROUP"))</f>
        <v/>
      </c>
      <c r="E30" s="30" t="str">
        <f aca="false">IF(B30="","",SUMIFS($C$6:$C$60,$B$6:$B$60,B30))</f>
        <v/>
      </c>
      <c r="F30" s="24" t="str">
        <f aca="false">IF(B30="","",IF(COUNTIFS(Assets!$A$6:$A$25,B30)=0,"asset not on Assets",IF(E30&gt;100,"asset over 100% across groups (register H7)","OK")))</f>
        <v/>
      </c>
    </row>
    <row r="31" customFormat="false" ht="15" hidden="false" customHeight="false" outlineLevel="0" collapsed="false">
      <c r="A31" s="12"/>
      <c r="B31" s="12"/>
      <c r="C31" s="16"/>
      <c r="D31" s="24" t="str">
        <f aca="false">IF(A31="","",IFERROR(INDEX(Groups!$B$6:$B$15,MATCH(A31,Groups!$A$6:$A$15,0)),"UNKNOWN GROUP"))</f>
        <v/>
      </c>
      <c r="E31" s="30" t="str">
        <f aca="false">IF(B31="","",SUMIFS($C$6:$C$60,$B$6:$B$60,B31))</f>
        <v/>
      </c>
      <c r="F31" s="24" t="str">
        <f aca="false">IF(B31="","",IF(COUNTIFS(Assets!$A$6:$A$25,B31)=0,"asset not on Assets",IF(E31&gt;100,"asset over 100% across groups (register H7)","OK")))</f>
        <v/>
      </c>
    </row>
    <row r="32" customFormat="false" ht="15" hidden="false" customHeight="false" outlineLevel="0" collapsed="false">
      <c r="A32" s="12"/>
      <c r="B32" s="12"/>
      <c r="C32" s="16"/>
      <c r="D32" s="24" t="str">
        <f aca="false">IF(A32="","",IFERROR(INDEX(Groups!$B$6:$B$15,MATCH(A32,Groups!$A$6:$A$15,0)),"UNKNOWN GROUP"))</f>
        <v/>
      </c>
      <c r="E32" s="30" t="str">
        <f aca="false">IF(B32="","",SUMIFS($C$6:$C$60,$B$6:$B$60,B32))</f>
        <v/>
      </c>
      <c r="F32" s="24" t="str">
        <f aca="false">IF(B32="","",IF(COUNTIFS(Assets!$A$6:$A$25,B32)=0,"asset not on Assets",IF(E32&gt;100,"asset over 100% across groups (register H7)","OK")))</f>
        <v/>
      </c>
    </row>
    <row r="33" customFormat="false" ht="15" hidden="false" customHeight="false" outlineLevel="0" collapsed="false">
      <c r="A33" s="12"/>
      <c r="B33" s="12"/>
      <c r="C33" s="16"/>
      <c r="D33" s="24" t="str">
        <f aca="false">IF(A33="","",IFERROR(INDEX(Groups!$B$6:$B$15,MATCH(A33,Groups!$A$6:$A$15,0)),"UNKNOWN GROUP"))</f>
        <v/>
      </c>
      <c r="E33" s="30" t="str">
        <f aca="false">IF(B33="","",SUMIFS($C$6:$C$60,$B$6:$B$60,B33))</f>
        <v/>
      </c>
      <c r="F33" s="24" t="str">
        <f aca="false">IF(B33="","",IF(COUNTIFS(Assets!$A$6:$A$25,B33)=0,"asset not on Assets",IF(E33&gt;100,"asset over 100% across groups (register H7)","OK")))</f>
        <v/>
      </c>
    </row>
    <row r="34" customFormat="false" ht="15" hidden="false" customHeight="false" outlineLevel="0" collapsed="false">
      <c r="A34" s="12"/>
      <c r="B34" s="12"/>
      <c r="C34" s="16"/>
      <c r="D34" s="24" t="str">
        <f aca="false">IF(A34="","",IFERROR(INDEX(Groups!$B$6:$B$15,MATCH(A34,Groups!$A$6:$A$15,0)),"UNKNOWN GROUP"))</f>
        <v/>
      </c>
      <c r="E34" s="30" t="str">
        <f aca="false">IF(B34="","",SUMIFS($C$6:$C$60,$B$6:$B$60,B34))</f>
        <v/>
      </c>
      <c r="F34" s="24" t="str">
        <f aca="false">IF(B34="","",IF(COUNTIFS(Assets!$A$6:$A$25,B34)=0,"asset not on Assets",IF(E34&gt;100,"asset over 100% across groups (register H7)","OK")))</f>
        <v/>
      </c>
    </row>
    <row r="35" customFormat="false" ht="15" hidden="false" customHeight="false" outlineLevel="0" collapsed="false">
      <c r="A35" s="12"/>
      <c r="B35" s="12"/>
      <c r="C35" s="16"/>
      <c r="D35" s="24" t="str">
        <f aca="false">IF(A35="","",IFERROR(INDEX(Groups!$B$6:$B$15,MATCH(A35,Groups!$A$6:$A$15,0)),"UNKNOWN GROUP"))</f>
        <v/>
      </c>
      <c r="E35" s="30" t="str">
        <f aca="false">IF(B35="","",SUMIFS($C$6:$C$60,$B$6:$B$60,B35))</f>
        <v/>
      </c>
      <c r="F35" s="24" t="str">
        <f aca="false">IF(B35="","",IF(COUNTIFS(Assets!$A$6:$A$25,B35)=0,"asset not on Assets",IF(E35&gt;100,"asset over 100% across groups (register H7)","OK")))</f>
        <v/>
      </c>
    </row>
    <row r="36" customFormat="false" ht="15" hidden="false" customHeight="false" outlineLevel="0" collapsed="false">
      <c r="A36" s="12"/>
      <c r="B36" s="12"/>
      <c r="C36" s="16"/>
      <c r="D36" s="24" t="str">
        <f aca="false">IF(A36="","",IFERROR(INDEX(Groups!$B$6:$B$15,MATCH(A36,Groups!$A$6:$A$15,0)),"UNKNOWN GROUP"))</f>
        <v/>
      </c>
      <c r="E36" s="30" t="str">
        <f aca="false">IF(B36="","",SUMIFS($C$6:$C$60,$B$6:$B$60,B36))</f>
        <v/>
      </c>
      <c r="F36" s="24" t="str">
        <f aca="false">IF(B36="","",IF(COUNTIFS(Assets!$A$6:$A$25,B36)=0,"asset not on Assets",IF(E36&gt;100,"asset over 100% across groups (register H7)","OK")))</f>
        <v/>
      </c>
    </row>
    <row r="37" customFormat="false" ht="15" hidden="false" customHeight="false" outlineLevel="0" collapsed="false">
      <c r="A37" s="12"/>
      <c r="B37" s="12"/>
      <c r="C37" s="16"/>
      <c r="D37" s="24" t="str">
        <f aca="false">IF(A37="","",IFERROR(INDEX(Groups!$B$6:$B$15,MATCH(A37,Groups!$A$6:$A$15,0)),"UNKNOWN GROUP"))</f>
        <v/>
      </c>
      <c r="E37" s="30" t="str">
        <f aca="false">IF(B37="","",SUMIFS($C$6:$C$60,$B$6:$B$60,B37))</f>
        <v/>
      </c>
      <c r="F37" s="24" t="str">
        <f aca="false">IF(B37="","",IF(COUNTIFS(Assets!$A$6:$A$25,B37)=0,"asset not on Assets",IF(E37&gt;100,"asset over 100% across groups (register H7)","OK")))</f>
        <v/>
      </c>
    </row>
    <row r="38" customFormat="false" ht="15" hidden="false" customHeight="false" outlineLevel="0" collapsed="false">
      <c r="A38" s="12"/>
      <c r="B38" s="12"/>
      <c r="C38" s="16"/>
      <c r="D38" s="24" t="str">
        <f aca="false">IF(A38="","",IFERROR(INDEX(Groups!$B$6:$B$15,MATCH(A38,Groups!$A$6:$A$15,0)),"UNKNOWN GROUP"))</f>
        <v/>
      </c>
      <c r="E38" s="30" t="str">
        <f aca="false">IF(B38="","",SUMIFS($C$6:$C$60,$B$6:$B$60,B38))</f>
        <v/>
      </c>
      <c r="F38" s="24" t="str">
        <f aca="false">IF(B38="","",IF(COUNTIFS(Assets!$A$6:$A$25,B38)=0,"asset not on Assets",IF(E38&gt;100,"asset over 100% across groups (register H7)","OK")))</f>
        <v/>
      </c>
    </row>
    <row r="39" customFormat="false" ht="15" hidden="false" customHeight="false" outlineLevel="0" collapsed="false">
      <c r="A39" s="12"/>
      <c r="B39" s="12"/>
      <c r="C39" s="16"/>
      <c r="D39" s="24" t="str">
        <f aca="false">IF(A39="","",IFERROR(INDEX(Groups!$B$6:$B$15,MATCH(A39,Groups!$A$6:$A$15,0)),"UNKNOWN GROUP"))</f>
        <v/>
      </c>
      <c r="E39" s="30" t="str">
        <f aca="false">IF(B39="","",SUMIFS($C$6:$C$60,$B$6:$B$60,B39))</f>
        <v/>
      </c>
      <c r="F39" s="24" t="str">
        <f aca="false">IF(B39="","",IF(COUNTIFS(Assets!$A$6:$A$25,B39)=0,"asset not on Assets",IF(E39&gt;100,"asset over 100% across groups (register H7)","OK")))</f>
        <v/>
      </c>
    </row>
    <row r="40" customFormat="false" ht="15" hidden="false" customHeight="false" outlineLevel="0" collapsed="false">
      <c r="A40" s="12"/>
      <c r="B40" s="12"/>
      <c r="C40" s="16"/>
      <c r="D40" s="24" t="str">
        <f aca="false">IF(A40="","",IFERROR(INDEX(Groups!$B$6:$B$15,MATCH(A40,Groups!$A$6:$A$15,0)),"UNKNOWN GROUP"))</f>
        <v/>
      </c>
      <c r="E40" s="30" t="str">
        <f aca="false">IF(B40="","",SUMIFS($C$6:$C$60,$B$6:$B$60,B40))</f>
        <v/>
      </c>
      <c r="F40" s="24" t="str">
        <f aca="false">IF(B40="","",IF(COUNTIFS(Assets!$A$6:$A$25,B40)=0,"asset not on Assets",IF(E40&gt;100,"asset over 100% across groups (register H7)","OK")))</f>
        <v/>
      </c>
    </row>
    <row r="41" customFormat="false" ht="15" hidden="false" customHeight="false" outlineLevel="0" collapsed="false">
      <c r="A41" s="12"/>
      <c r="B41" s="12"/>
      <c r="C41" s="16"/>
      <c r="D41" s="24" t="str">
        <f aca="false">IF(A41="","",IFERROR(INDEX(Groups!$B$6:$B$15,MATCH(A41,Groups!$A$6:$A$15,0)),"UNKNOWN GROUP"))</f>
        <v/>
      </c>
      <c r="E41" s="30" t="str">
        <f aca="false">IF(B41="","",SUMIFS($C$6:$C$60,$B$6:$B$60,B41))</f>
        <v/>
      </c>
      <c r="F41" s="24" t="str">
        <f aca="false">IF(B41="","",IF(COUNTIFS(Assets!$A$6:$A$25,B41)=0,"asset not on Assets",IF(E41&gt;100,"asset over 100% across groups (register H7)","OK")))</f>
        <v/>
      </c>
    </row>
    <row r="42" customFormat="false" ht="15" hidden="false" customHeight="false" outlineLevel="0" collapsed="false">
      <c r="A42" s="12"/>
      <c r="B42" s="12"/>
      <c r="C42" s="16"/>
      <c r="D42" s="24" t="str">
        <f aca="false">IF(A42="","",IFERROR(INDEX(Groups!$B$6:$B$15,MATCH(A42,Groups!$A$6:$A$15,0)),"UNKNOWN GROUP"))</f>
        <v/>
      </c>
      <c r="E42" s="30" t="str">
        <f aca="false">IF(B42="","",SUMIFS($C$6:$C$60,$B$6:$B$60,B42))</f>
        <v/>
      </c>
      <c r="F42" s="24" t="str">
        <f aca="false">IF(B42="","",IF(COUNTIFS(Assets!$A$6:$A$25,B42)=0,"asset not on Assets",IF(E42&gt;100,"asset over 100% across groups (register H7)","OK")))</f>
        <v/>
      </c>
    </row>
    <row r="43" customFormat="false" ht="15" hidden="false" customHeight="false" outlineLevel="0" collapsed="false">
      <c r="A43" s="12"/>
      <c r="B43" s="12"/>
      <c r="C43" s="16"/>
      <c r="D43" s="24" t="str">
        <f aca="false">IF(A43="","",IFERROR(INDEX(Groups!$B$6:$B$15,MATCH(A43,Groups!$A$6:$A$15,0)),"UNKNOWN GROUP"))</f>
        <v/>
      </c>
      <c r="E43" s="30" t="str">
        <f aca="false">IF(B43="","",SUMIFS($C$6:$C$60,$B$6:$B$60,B43))</f>
        <v/>
      </c>
      <c r="F43" s="24" t="str">
        <f aca="false">IF(B43="","",IF(COUNTIFS(Assets!$A$6:$A$25,B43)=0,"asset not on Assets",IF(E43&gt;100,"asset over 100% across groups (register H7)","OK")))</f>
        <v/>
      </c>
    </row>
    <row r="44" customFormat="false" ht="15" hidden="false" customHeight="false" outlineLevel="0" collapsed="false">
      <c r="A44" s="12"/>
      <c r="B44" s="12"/>
      <c r="C44" s="16"/>
      <c r="D44" s="24" t="str">
        <f aca="false">IF(A44="","",IFERROR(INDEX(Groups!$B$6:$B$15,MATCH(A44,Groups!$A$6:$A$15,0)),"UNKNOWN GROUP"))</f>
        <v/>
      </c>
      <c r="E44" s="30" t="str">
        <f aca="false">IF(B44="","",SUMIFS($C$6:$C$60,$B$6:$B$60,B44))</f>
        <v/>
      </c>
      <c r="F44" s="24" t="str">
        <f aca="false">IF(B44="","",IF(COUNTIFS(Assets!$A$6:$A$25,B44)=0,"asset not on Assets",IF(E44&gt;100,"asset over 100% across groups (register H7)","OK")))</f>
        <v/>
      </c>
    </row>
    <row r="45" customFormat="false" ht="15" hidden="false" customHeight="false" outlineLevel="0" collapsed="false">
      <c r="A45" s="12"/>
      <c r="B45" s="12"/>
      <c r="C45" s="16"/>
      <c r="D45" s="24" t="str">
        <f aca="false">IF(A45="","",IFERROR(INDEX(Groups!$B$6:$B$15,MATCH(A45,Groups!$A$6:$A$15,0)),"UNKNOWN GROUP"))</f>
        <v/>
      </c>
      <c r="E45" s="30" t="str">
        <f aca="false">IF(B45="","",SUMIFS($C$6:$C$60,$B$6:$B$60,B45))</f>
        <v/>
      </c>
      <c r="F45" s="24" t="str">
        <f aca="false">IF(B45="","",IF(COUNTIFS(Assets!$A$6:$A$25,B45)=0,"asset not on Assets",IF(E45&gt;100,"asset over 100% across groups (register H7)","OK")))</f>
        <v/>
      </c>
    </row>
    <row r="46" customFormat="false" ht="15" hidden="false" customHeight="false" outlineLevel="0" collapsed="false">
      <c r="A46" s="12"/>
      <c r="B46" s="12"/>
      <c r="C46" s="16"/>
      <c r="D46" s="24" t="str">
        <f aca="false">IF(A46="","",IFERROR(INDEX(Groups!$B$6:$B$15,MATCH(A46,Groups!$A$6:$A$15,0)),"UNKNOWN GROUP"))</f>
        <v/>
      </c>
      <c r="E46" s="30" t="str">
        <f aca="false">IF(B46="","",SUMIFS($C$6:$C$60,$B$6:$B$60,B46))</f>
        <v/>
      </c>
      <c r="F46" s="24" t="str">
        <f aca="false">IF(B46="","",IF(COUNTIFS(Assets!$A$6:$A$25,B46)=0,"asset not on Assets",IF(E46&gt;100,"asset over 100% across groups (register H7)","OK")))</f>
        <v/>
      </c>
    </row>
    <row r="47" customFormat="false" ht="15" hidden="false" customHeight="false" outlineLevel="0" collapsed="false">
      <c r="A47" s="12"/>
      <c r="B47" s="12"/>
      <c r="C47" s="16"/>
      <c r="D47" s="24" t="str">
        <f aca="false">IF(A47="","",IFERROR(INDEX(Groups!$B$6:$B$15,MATCH(A47,Groups!$A$6:$A$15,0)),"UNKNOWN GROUP"))</f>
        <v/>
      </c>
      <c r="E47" s="30" t="str">
        <f aca="false">IF(B47="","",SUMIFS($C$6:$C$60,$B$6:$B$60,B47))</f>
        <v/>
      </c>
      <c r="F47" s="24" t="str">
        <f aca="false">IF(B47="","",IF(COUNTIFS(Assets!$A$6:$A$25,B47)=0,"asset not on Assets",IF(E47&gt;100,"asset over 100% across groups (register H7)","OK")))</f>
        <v/>
      </c>
    </row>
    <row r="48" customFormat="false" ht="15" hidden="false" customHeight="false" outlineLevel="0" collapsed="false">
      <c r="A48" s="12"/>
      <c r="B48" s="12"/>
      <c r="C48" s="16"/>
      <c r="D48" s="24" t="str">
        <f aca="false">IF(A48="","",IFERROR(INDEX(Groups!$B$6:$B$15,MATCH(A48,Groups!$A$6:$A$15,0)),"UNKNOWN GROUP"))</f>
        <v/>
      </c>
      <c r="E48" s="30" t="str">
        <f aca="false">IF(B48="","",SUMIFS($C$6:$C$60,$B$6:$B$60,B48))</f>
        <v/>
      </c>
      <c r="F48" s="24" t="str">
        <f aca="false">IF(B48="","",IF(COUNTIFS(Assets!$A$6:$A$25,B48)=0,"asset not on Assets",IF(E48&gt;100,"asset over 100% across groups (register H7)","OK")))</f>
        <v/>
      </c>
    </row>
    <row r="49" customFormat="false" ht="15" hidden="false" customHeight="false" outlineLevel="0" collapsed="false">
      <c r="A49" s="12"/>
      <c r="B49" s="12"/>
      <c r="C49" s="16"/>
      <c r="D49" s="24" t="str">
        <f aca="false">IF(A49="","",IFERROR(INDEX(Groups!$B$6:$B$15,MATCH(A49,Groups!$A$6:$A$15,0)),"UNKNOWN GROUP"))</f>
        <v/>
      </c>
      <c r="E49" s="30" t="str">
        <f aca="false">IF(B49="","",SUMIFS($C$6:$C$60,$B$6:$B$60,B49))</f>
        <v/>
      </c>
      <c r="F49" s="24" t="str">
        <f aca="false">IF(B49="","",IF(COUNTIFS(Assets!$A$6:$A$25,B49)=0,"asset not on Assets",IF(E49&gt;100,"asset over 100% across groups (register H7)","OK")))</f>
        <v/>
      </c>
    </row>
    <row r="50" customFormat="false" ht="15" hidden="false" customHeight="false" outlineLevel="0" collapsed="false">
      <c r="A50" s="12"/>
      <c r="B50" s="12"/>
      <c r="C50" s="16"/>
      <c r="D50" s="24" t="str">
        <f aca="false">IF(A50="","",IFERROR(INDEX(Groups!$B$6:$B$15,MATCH(A50,Groups!$A$6:$A$15,0)),"UNKNOWN GROUP"))</f>
        <v/>
      </c>
      <c r="E50" s="30" t="str">
        <f aca="false">IF(B50="","",SUMIFS($C$6:$C$60,$B$6:$B$60,B50))</f>
        <v/>
      </c>
      <c r="F50" s="24" t="str">
        <f aca="false">IF(B50="","",IF(COUNTIFS(Assets!$A$6:$A$25,B50)=0,"asset not on Assets",IF(E50&gt;100,"asset over 100% across groups (register H7)","OK")))</f>
        <v/>
      </c>
    </row>
    <row r="51" customFormat="false" ht="15" hidden="false" customHeight="false" outlineLevel="0" collapsed="false">
      <c r="A51" s="12"/>
      <c r="B51" s="12"/>
      <c r="C51" s="16"/>
      <c r="D51" s="24" t="str">
        <f aca="false">IF(A51="","",IFERROR(INDEX(Groups!$B$6:$B$15,MATCH(A51,Groups!$A$6:$A$15,0)),"UNKNOWN GROUP"))</f>
        <v/>
      </c>
      <c r="E51" s="30" t="str">
        <f aca="false">IF(B51="","",SUMIFS($C$6:$C$60,$B$6:$B$60,B51))</f>
        <v/>
      </c>
      <c r="F51" s="24" t="str">
        <f aca="false">IF(B51="","",IF(COUNTIFS(Assets!$A$6:$A$25,B51)=0,"asset not on Assets",IF(E51&gt;100,"asset over 100% across groups (register H7)","OK")))</f>
        <v/>
      </c>
    </row>
    <row r="52" customFormat="false" ht="15" hidden="false" customHeight="false" outlineLevel="0" collapsed="false">
      <c r="A52" s="12"/>
      <c r="B52" s="12"/>
      <c r="C52" s="16"/>
      <c r="D52" s="24" t="str">
        <f aca="false">IF(A52="","",IFERROR(INDEX(Groups!$B$6:$B$15,MATCH(A52,Groups!$A$6:$A$15,0)),"UNKNOWN GROUP"))</f>
        <v/>
      </c>
      <c r="E52" s="30" t="str">
        <f aca="false">IF(B52="","",SUMIFS($C$6:$C$60,$B$6:$B$60,B52))</f>
        <v/>
      </c>
      <c r="F52" s="24" t="str">
        <f aca="false">IF(B52="","",IF(COUNTIFS(Assets!$A$6:$A$25,B52)=0,"asset not on Assets",IF(E52&gt;100,"asset over 100% across groups (register H7)","OK")))</f>
        <v/>
      </c>
    </row>
    <row r="53" customFormat="false" ht="15" hidden="false" customHeight="false" outlineLevel="0" collapsed="false">
      <c r="A53" s="12"/>
      <c r="B53" s="12"/>
      <c r="C53" s="16"/>
      <c r="D53" s="24" t="str">
        <f aca="false">IF(A53="","",IFERROR(INDEX(Groups!$B$6:$B$15,MATCH(A53,Groups!$A$6:$A$15,0)),"UNKNOWN GROUP"))</f>
        <v/>
      </c>
      <c r="E53" s="30" t="str">
        <f aca="false">IF(B53="","",SUMIFS($C$6:$C$60,$B$6:$B$60,B53))</f>
        <v/>
      </c>
      <c r="F53" s="24" t="str">
        <f aca="false">IF(B53="","",IF(COUNTIFS(Assets!$A$6:$A$25,B53)=0,"asset not on Assets",IF(E53&gt;100,"asset over 100% across groups (register H7)","OK")))</f>
        <v/>
      </c>
    </row>
    <row r="54" customFormat="false" ht="15" hidden="false" customHeight="false" outlineLevel="0" collapsed="false">
      <c r="A54" s="12"/>
      <c r="B54" s="12"/>
      <c r="C54" s="16"/>
      <c r="D54" s="24" t="str">
        <f aca="false">IF(A54="","",IFERROR(INDEX(Groups!$B$6:$B$15,MATCH(A54,Groups!$A$6:$A$15,0)),"UNKNOWN GROUP"))</f>
        <v/>
      </c>
      <c r="E54" s="30" t="str">
        <f aca="false">IF(B54="","",SUMIFS($C$6:$C$60,$B$6:$B$60,B54))</f>
        <v/>
      </c>
      <c r="F54" s="24" t="str">
        <f aca="false">IF(B54="","",IF(COUNTIFS(Assets!$A$6:$A$25,B54)=0,"asset not on Assets",IF(E54&gt;100,"asset over 100% across groups (register H7)","OK")))</f>
        <v/>
      </c>
    </row>
    <row r="55" customFormat="false" ht="15" hidden="false" customHeight="false" outlineLevel="0" collapsed="false">
      <c r="A55" s="12"/>
      <c r="B55" s="12"/>
      <c r="C55" s="16"/>
      <c r="D55" s="24" t="str">
        <f aca="false">IF(A55="","",IFERROR(INDEX(Groups!$B$6:$B$15,MATCH(A55,Groups!$A$6:$A$15,0)),"UNKNOWN GROUP"))</f>
        <v/>
      </c>
      <c r="E55" s="30" t="str">
        <f aca="false">IF(B55="","",SUMIFS($C$6:$C$60,$B$6:$B$60,B55))</f>
        <v/>
      </c>
      <c r="F55" s="24" t="str">
        <f aca="false">IF(B55="","",IF(COUNTIFS(Assets!$A$6:$A$25,B55)=0,"asset not on Assets",IF(E55&gt;100,"asset over 100% across groups (register H7)","OK")))</f>
        <v/>
      </c>
    </row>
    <row r="56" customFormat="false" ht="15" hidden="false" customHeight="false" outlineLevel="0" collapsed="false">
      <c r="A56" s="12"/>
      <c r="B56" s="12"/>
      <c r="C56" s="16"/>
      <c r="D56" s="24" t="str">
        <f aca="false">IF(A56="","",IFERROR(INDEX(Groups!$B$6:$B$15,MATCH(A56,Groups!$A$6:$A$15,0)),"UNKNOWN GROUP"))</f>
        <v/>
      </c>
      <c r="E56" s="30" t="str">
        <f aca="false">IF(B56="","",SUMIFS($C$6:$C$60,$B$6:$B$60,B56))</f>
        <v/>
      </c>
      <c r="F56" s="24" t="str">
        <f aca="false">IF(B56="","",IF(COUNTIFS(Assets!$A$6:$A$25,B56)=0,"asset not on Assets",IF(E56&gt;100,"asset over 100% across groups (register H7)","OK")))</f>
        <v/>
      </c>
    </row>
    <row r="57" customFormat="false" ht="15" hidden="false" customHeight="false" outlineLevel="0" collapsed="false">
      <c r="A57" s="12"/>
      <c r="B57" s="12"/>
      <c r="C57" s="16"/>
      <c r="D57" s="24" t="str">
        <f aca="false">IF(A57="","",IFERROR(INDEX(Groups!$B$6:$B$15,MATCH(A57,Groups!$A$6:$A$15,0)),"UNKNOWN GROUP"))</f>
        <v/>
      </c>
      <c r="E57" s="30" t="str">
        <f aca="false">IF(B57="","",SUMIFS($C$6:$C$60,$B$6:$B$60,B57))</f>
        <v/>
      </c>
      <c r="F57" s="24" t="str">
        <f aca="false">IF(B57="","",IF(COUNTIFS(Assets!$A$6:$A$25,B57)=0,"asset not on Assets",IF(E57&gt;100,"asset over 100% across groups (register H7)","OK")))</f>
        <v/>
      </c>
    </row>
    <row r="58" customFormat="false" ht="15" hidden="false" customHeight="false" outlineLevel="0" collapsed="false">
      <c r="A58" s="12"/>
      <c r="B58" s="12"/>
      <c r="C58" s="16"/>
      <c r="D58" s="24" t="str">
        <f aca="false">IF(A58="","",IFERROR(INDEX(Groups!$B$6:$B$15,MATCH(A58,Groups!$A$6:$A$15,0)),"UNKNOWN GROUP"))</f>
        <v/>
      </c>
      <c r="E58" s="30" t="str">
        <f aca="false">IF(B58="","",SUMIFS($C$6:$C$60,$B$6:$B$60,B58))</f>
        <v/>
      </c>
      <c r="F58" s="24" t="str">
        <f aca="false">IF(B58="","",IF(COUNTIFS(Assets!$A$6:$A$25,B58)=0,"asset not on Assets",IF(E58&gt;100,"asset over 100% across groups (register H7)","OK")))</f>
        <v/>
      </c>
    </row>
    <row r="59" customFormat="false" ht="15" hidden="false" customHeight="false" outlineLevel="0" collapsed="false">
      <c r="A59" s="12"/>
      <c r="B59" s="12"/>
      <c r="C59" s="16"/>
      <c r="D59" s="24" t="str">
        <f aca="false">IF(A59="","",IFERROR(INDEX(Groups!$B$6:$B$15,MATCH(A59,Groups!$A$6:$A$15,0)),"UNKNOWN GROUP"))</f>
        <v/>
      </c>
      <c r="E59" s="30" t="str">
        <f aca="false">IF(B59="","",SUMIFS($C$6:$C$60,$B$6:$B$60,B59))</f>
        <v/>
      </c>
      <c r="F59" s="24" t="str">
        <f aca="false">IF(B59="","",IF(COUNTIFS(Assets!$A$6:$A$25,B59)=0,"asset not on Assets",IF(E59&gt;100,"asset over 100% across groups (register H7)","OK")))</f>
        <v/>
      </c>
    </row>
    <row r="60" customFormat="false" ht="15" hidden="false" customHeight="false" outlineLevel="0" collapsed="false">
      <c r="A60" s="12"/>
      <c r="B60" s="12"/>
      <c r="C60" s="16"/>
      <c r="D60" s="24" t="str">
        <f aca="false">IF(A60="","",IFERROR(INDEX(Groups!$B$6:$B$15,MATCH(A60,Groups!$A$6:$A$15,0)),"UNKNOWN GROUP"))</f>
        <v/>
      </c>
      <c r="E60" s="30" t="str">
        <f aca="false">IF(B60="","",SUMIFS($C$6:$C$60,$B$6:$B$60,B60))</f>
        <v/>
      </c>
      <c r="F60" s="24" t="str">
        <f aca="false">IF(B60="","",IF(COUNTIFS(Assets!$A$6:$A$25,B60)=0,"asset not on Assets",IF(E60&gt;100,"asset over 100% across groups (register H7)","OK")))</f>
        <v/>
      </c>
    </row>
  </sheetData>
  <dataValidations count="2">
    <dataValidation allowBlank="true" error="Pick from the list" errorStyle="stop" errorTitle="Not in list" operator="between" showDropDown="false" showErrorMessage="false" showInputMessage="false" sqref="A6:A60" type="list">
      <formula1>Groups!$A$6:$A$15</formula1>
      <formula2>0</formula2>
    </dataValidation>
    <dataValidation allowBlank="true" error="Pick from the list" errorStyle="stop" errorTitle="Not in list" operator="between" showDropDown="false" showErrorMessage="false" showInputMessage="false" sqref="B6:B60" type="list">
      <formula1>Assets!$A$6:$A$25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8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2"/>
    <col collapsed="false" customWidth="true" hidden="false" outlineLevel="0" max="9" min="9" style="0" width="13"/>
    <col collapsed="false" customWidth="true" hidden="false" outlineLevel="0" max="10" min="10" style="0" width="40"/>
  </cols>
  <sheetData>
    <row r="1" customFormat="false" ht="17.35" hidden="false" customHeight="false" outlineLevel="0" collapsed="false">
      <c r="A1" s="1" t="s">
        <v>277</v>
      </c>
    </row>
    <row r="2" customFormat="false" ht="15" hidden="false" customHeight="false" outlineLevel="0" collapsed="false">
      <c r="A2" s="2" t="s">
        <v>278</v>
      </c>
    </row>
    <row r="4" customFormat="false" ht="42" hidden="false" customHeight="true" outlineLevel="0" collapsed="false">
      <c r="A4" s="10" t="s">
        <v>279</v>
      </c>
      <c r="B4" s="10" t="s">
        <v>280</v>
      </c>
      <c r="C4" s="10" t="s">
        <v>281</v>
      </c>
      <c r="D4" s="10" t="s">
        <v>282</v>
      </c>
      <c r="E4" s="10" t="s">
        <v>283</v>
      </c>
      <c r="F4" s="10" t="s">
        <v>284</v>
      </c>
      <c r="G4" s="10" t="s">
        <v>285</v>
      </c>
      <c r="H4" s="10" t="s">
        <v>286</v>
      </c>
      <c r="I4" s="10" t="s">
        <v>287</v>
      </c>
      <c r="J4" s="10" t="s">
        <v>118</v>
      </c>
    </row>
    <row r="5" customFormat="false" ht="15" hidden="false" customHeight="false" outlineLevel="0" collapsed="false">
      <c r="A5" s="19" t="s">
        <v>119</v>
      </c>
      <c r="B5" s="19" t="s">
        <v>247</v>
      </c>
      <c r="C5" s="19" t="s">
        <v>205</v>
      </c>
      <c r="D5" s="19" t="s">
        <v>288</v>
      </c>
      <c r="E5" s="19" t="s">
        <v>289</v>
      </c>
      <c r="F5" s="21" t="n">
        <v>120</v>
      </c>
      <c r="G5" s="20" t="n">
        <v>1</v>
      </c>
      <c r="H5" s="19" t="s">
        <v>81</v>
      </c>
      <c r="I5" s="21" t="n">
        <v>120</v>
      </c>
      <c r="J5" s="19" t="s">
        <v>204</v>
      </c>
    </row>
    <row r="6" customFormat="false" ht="15" hidden="false" customHeight="false" outlineLevel="0" collapsed="false">
      <c r="A6" s="12" t="s">
        <v>290</v>
      </c>
      <c r="B6" s="12" t="s">
        <v>247</v>
      </c>
      <c r="C6" s="12" t="s">
        <v>205</v>
      </c>
      <c r="D6" s="12" t="s">
        <v>288</v>
      </c>
      <c r="E6" s="12" t="s">
        <v>289</v>
      </c>
      <c r="F6" s="25"/>
      <c r="G6" s="26" t="n">
        <v>1</v>
      </c>
      <c r="H6" s="12" t="s">
        <v>81</v>
      </c>
      <c r="I6" s="35" t="n">
        <f aca="false">IF(OR(F6="",G6=""),0,F6*G6)</f>
        <v>0</v>
      </c>
      <c r="J6" s="29"/>
    </row>
    <row r="7" customFormat="false" ht="15" hidden="false" customHeight="false" outlineLevel="0" collapsed="false">
      <c r="A7" s="12" t="s">
        <v>291</v>
      </c>
      <c r="B7" s="12" t="s">
        <v>247</v>
      </c>
      <c r="C7" s="12" t="s">
        <v>208</v>
      </c>
      <c r="D7" s="12" t="s">
        <v>288</v>
      </c>
      <c r="E7" s="12" t="s">
        <v>289</v>
      </c>
      <c r="F7" s="25"/>
      <c r="G7" s="26" t="n">
        <v>1</v>
      </c>
      <c r="H7" s="12" t="s">
        <v>81</v>
      </c>
      <c r="I7" s="35" t="n">
        <f aca="false">IF(OR(F7="",G7=""),0,F7*G7)</f>
        <v>0</v>
      </c>
      <c r="J7" s="29"/>
    </row>
    <row r="8" customFormat="false" ht="15" hidden="false" customHeight="false" outlineLevel="0" collapsed="false">
      <c r="A8" s="12" t="s">
        <v>292</v>
      </c>
      <c r="B8" s="12" t="s">
        <v>250</v>
      </c>
      <c r="C8" s="12" t="s">
        <v>210</v>
      </c>
      <c r="D8" s="12" t="s">
        <v>288</v>
      </c>
      <c r="E8" s="12" t="s">
        <v>289</v>
      </c>
      <c r="F8" s="25"/>
      <c r="G8" s="26" t="n">
        <v>1</v>
      </c>
      <c r="H8" s="12" t="s">
        <v>81</v>
      </c>
      <c r="I8" s="35" t="n">
        <f aca="false">IF(OR(F8="",G8=""),0,F8*G8)</f>
        <v>0</v>
      </c>
      <c r="J8" s="29"/>
    </row>
    <row r="9" customFormat="false" ht="15" hidden="false" customHeight="false" outlineLevel="0" collapsed="false">
      <c r="A9" s="12" t="s">
        <v>293</v>
      </c>
      <c r="B9" s="12" t="s">
        <v>250</v>
      </c>
      <c r="C9" s="12" t="s">
        <v>212</v>
      </c>
      <c r="D9" s="12" t="s">
        <v>288</v>
      </c>
      <c r="E9" s="12" t="s">
        <v>289</v>
      </c>
      <c r="F9" s="25"/>
      <c r="G9" s="26" t="n">
        <v>1</v>
      </c>
      <c r="H9" s="12" t="s">
        <v>81</v>
      </c>
      <c r="I9" s="35" t="n">
        <f aca="false">IF(OR(F9="",G9=""),0,F9*G9)</f>
        <v>0</v>
      </c>
      <c r="J9" s="29"/>
    </row>
    <row r="10" customFormat="false" ht="15" hidden="false" customHeight="false" outlineLevel="0" collapsed="false">
      <c r="A10" s="12"/>
      <c r="B10" s="12"/>
      <c r="C10" s="12"/>
      <c r="D10" s="12"/>
      <c r="E10" s="12"/>
      <c r="F10" s="25"/>
      <c r="G10" s="26"/>
      <c r="H10" s="12"/>
      <c r="I10" s="35" t="n">
        <f aca="false">IF(OR(F10="",G10=""),0,F10*G10)</f>
        <v>0</v>
      </c>
      <c r="J10" s="29"/>
    </row>
    <row r="11" customFormat="false" ht="15" hidden="false" customHeight="false" outlineLevel="0" collapsed="false">
      <c r="A11" s="12"/>
      <c r="B11" s="12"/>
      <c r="C11" s="12"/>
      <c r="D11" s="12"/>
      <c r="E11" s="12"/>
      <c r="F11" s="25"/>
      <c r="G11" s="26"/>
      <c r="H11" s="12"/>
      <c r="I11" s="35" t="n">
        <f aca="false">IF(OR(F11="",G11=""),0,F11*G11)</f>
        <v>0</v>
      </c>
      <c r="J11" s="29"/>
    </row>
    <row r="12" customFormat="false" ht="15" hidden="false" customHeight="false" outlineLevel="0" collapsed="false">
      <c r="A12" s="12"/>
      <c r="B12" s="12"/>
      <c r="C12" s="12"/>
      <c r="D12" s="12"/>
      <c r="E12" s="12"/>
      <c r="F12" s="25"/>
      <c r="G12" s="26"/>
      <c r="H12" s="12"/>
      <c r="I12" s="35" t="n">
        <f aca="false">IF(OR(F12="",G12=""),0,F12*G12)</f>
        <v>0</v>
      </c>
      <c r="J12" s="29"/>
    </row>
    <row r="13" customFormat="false" ht="15" hidden="false" customHeight="false" outlineLevel="0" collapsed="false">
      <c r="A13" s="12"/>
      <c r="B13" s="12"/>
      <c r="C13" s="12"/>
      <c r="D13" s="12"/>
      <c r="E13" s="12"/>
      <c r="F13" s="25"/>
      <c r="G13" s="26"/>
      <c r="H13" s="12"/>
      <c r="I13" s="35" t="n">
        <f aca="false">IF(OR(F13="",G13=""),0,F13*G13)</f>
        <v>0</v>
      </c>
      <c r="J13" s="29"/>
    </row>
    <row r="14" customFormat="false" ht="15" hidden="false" customHeight="false" outlineLevel="0" collapsed="false">
      <c r="A14" s="12"/>
      <c r="B14" s="12"/>
      <c r="C14" s="12"/>
      <c r="D14" s="12"/>
      <c r="E14" s="12"/>
      <c r="F14" s="25"/>
      <c r="G14" s="26"/>
      <c r="H14" s="12"/>
      <c r="I14" s="35" t="n">
        <f aca="false">IF(OR(F14="",G14=""),0,F14*G14)</f>
        <v>0</v>
      </c>
      <c r="J14" s="29"/>
    </row>
    <row r="15" customFormat="false" ht="15" hidden="false" customHeight="false" outlineLevel="0" collapsed="false">
      <c r="A15" s="12"/>
      <c r="B15" s="12"/>
      <c r="C15" s="12"/>
      <c r="D15" s="12"/>
      <c r="E15" s="12"/>
      <c r="F15" s="25"/>
      <c r="G15" s="26"/>
      <c r="H15" s="12"/>
      <c r="I15" s="35" t="n">
        <f aca="false">IF(OR(F15="",G15=""),0,F15*G15)</f>
        <v>0</v>
      </c>
      <c r="J15" s="29"/>
    </row>
    <row r="16" customFormat="false" ht="15" hidden="false" customHeight="false" outlineLevel="0" collapsed="false">
      <c r="A16" s="12"/>
      <c r="B16" s="12"/>
      <c r="C16" s="12"/>
      <c r="D16" s="12"/>
      <c r="E16" s="12"/>
      <c r="F16" s="25"/>
      <c r="G16" s="26"/>
      <c r="H16" s="12"/>
      <c r="I16" s="35" t="n">
        <f aca="false">IF(OR(F16="",G16=""),0,F16*G16)</f>
        <v>0</v>
      </c>
      <c r="J16" s="29"/>
    </row>
    <row r="17" customFormat="false" ht="15" hidden="false" customHeight="false" outlineLevel="0" collapsed="false">
      <c r="A17" s="12"/>
      <c r="B17" s="12"/>
      <c r="C17" s="12"/>
      <c r="D17" s="12"/>
      <c r="E17" s="12"/>
      <c r="F17" s="25"/>
      <c r="G17" s="26"/>
      <c r="H17" s="12"/>
      <c r="I17" s="35" t="n">
        <f aca="false">IF(OR(F17="",G17=""),0,F17*G17)</f>
        <v>0</v>
      </c>
      <c r="J17" s="29"/>
    </row>
    <row r="18" customFormat="false" ht="15" hidden="false" customHeight="false" outlineLevel="0" collapsed="false">
      <c r="A18" s="12"/>
      <c r="B18" s="12"/>
      <c r="C18" s="12"/>
      <c r="D18" s="12"/>
      <c r="E18" s="12"/>
      <c r="F18" s="25"/>
      <c r="G18" s="26"/>
      <c r="H18" s="12"/>
      <c r="I18" s="35" t="n">
        <f aca="false">IF(OR(F18="",G18=""),0,F18*G18)</f>
        <v>0</v>
      </c>
      <c r="J18" s="29"/>
    </row>
    <row r="19" customFormat="false" ht="15" hidden="false" customHeight="false" outlineLevel="0" collapsed="false">
      <c r="A19" s="12"/>
      <c r="B19" s="12"/>
      <c r="C19" s="12"/>
      <c r="D19" s="12"/>
      <c r="E19" s="12"/>
      <c r="F19" s="25"/>
      <c r="G19" s="26"/>
      <c r="H19" s="12"/>
      <c r="I19" s="35" t="n">
        <f aca="false">IF(OR(F19="",G19=""),0,F19*G19)</f>
        <v>0</v>
      </c>
      <c r="J19" s="29"/>
    </row>
    <row r="20" customFormat="false" ht="15" hidden="false" customHeight="false" outlineLevel="0" collapsed="false">
      <c r="A20" s="12"/>
      <c r="B20" s="12"/>
      <c r="C20" s="12"/>
      <c r="D20" s="12"/>
      <c r="E20" s="12"/>
      <c r="F20" s="25"/>
      <c r="G20" s="26"/>
      <c r="H20" s="12"/>
      <c r="I20" s="35" t="n">
        <f aca="false">IF(OR(F20="",G20=""),0,F20*G20)</f>
        <v>0</v>
      </c>
      <c r="J20" s="29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25"/>
      <c r="G21" s="26"/>
      <c r="H21" s="12"/>
      <c r="I21" s="35" t="n">
        <f aca="false">IF(OR(F21="",G21=""),0,F21*G21)</f>
        <v>0</v>
      </c>
      <c r="J21" s="29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25"/>
      <c r="G22" s="26"/>
      <c r="H22" s="12"/>
      <c r="I22" s="35" t="n">
        <f aca="false">IF(OR(F22="",G22=""),0,F22*G22)</f>
        <v>0</v>
      </c>
      <c r="J22" s="29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25"/>
      <c r="G23" s="26"/>
      <c r="H23" s="12"/>
      <c r="I23" s="35" t="n">
        <f aca="false">IF(OR(F23="",G23=""),0,F23*G23)</f>
        <v>0</v>
      </c>
      <c r="J23" s="29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25"/>
      <c r="G24" s="26"/>
      <c r="H24" s="12"/>
      <c r="I24" s="35" t="n">
        <f aca="false">IF(OR(F24="",G24=""),0,F24*G24)</f>
        <v>0</v>
      </c>
      <c r="J24" s="29"/>
    </row>
    <row r="25" customFormat="false" ht="15" hidden="false" customHeight="false" outlineLevel="0" collapsed="false">
      <c r="A25" s="12"/>
      <c r="B25" s="12"/>
      <c r="C25" s="12"/>
      <c r="D25" s="12"/>
      <c r="E25" s="12"/>
      <c r="F25" s="25"/>
      <c r="G25" s="26"/>
      <c r="H25" s="12"/>
      <c r="I25" s="35" t="n">
        <f aca="false">IF(OR(F25="",G25=""),0,F25*G25)</f>
        <v>0</v>
      </c>
      <c r="J25" s="29"/>
    </row>
    <row r="26" customFormat="false" ht="15" hidden="false" customHeight="false" outlineLevel="0" collapsed="false">
      <c r="A26" s="12"/>
      <c r="B26" s="12"/>
      <c r="C26" s="12"/>
      <c r="D26" s="12"/>
      <c r="E26" s="12"/>
      <c r="F26" s="25"/>
      <c r="G26" s="26"/>
      <c r="H26" s="12"/>
      <c r="I26" s="35" t="n">
        <f aca="false">IF(OR(F26="",G26=""),0,F26*G26)</f>
        <v>0</v>
      </c>
      <c r="J26" s="29"/>
    </row>
    <row r="27" customFormat="false" ht="15" hidden="false" customHeight="false" outlineLevel="0" collapsed="false">
      <c r="A27" s="12"/>
      <c r="B27" s="12"/>
      <c r="C27" s="12"/>
      <c r="D27" s="12"/>
      <c r="E27" s="12"/>
      <c r="F27" s="25"/>
      <c r="G27" s="26"/>
      <c r="H27" s="12"/>
      <c r="I27" s="35" t="n">
        <f aca="false">IF(OR(F27="",G27=""),0,F27*G27)</f>
        <v>0</v>
      </c>
      <c r="J27" s="29"/>
    </row>
    <row r="28" customFormat="false" ht="15" hidden="false" customHeight="false" outlineLevel="0" collapsed="false">
      <c r="A28" s="12"/>
      <c r="B28" s="12"/>
      <c r="C28" s="12"/>
      <c r="D28" s="12"/>
      <c r="E28" s="12"/>
      <c r="F28" s="25"/>
      <c r="G28" s="26"/>
      <c r="H28" s="12"/>
      <c r="I28" s="35" t="n">
        <f aca="false">IF(OR(F28="",G28=""),0,F28*G28)</f>
        <v>0</v>
      </c>
      <c r="J28" s="29"/>
    </row>
    <row r="29" customFormat="false" ht="15" hidden="false" customHeight="false" outlineLevel="0" collapsed="false">
      <c r="A29" s="12"/>
      <c r="B29" s="12"/>
      <c r="C29" s="12"/>
      <c r="D29" s="12"/>
      <c r="E29" s="12"/>
      <c r="F29" s="25"/>
      <c r="G29" s="26"/>
      <c r="H29" s="12"/>
      <c r="I29" s="35" t="n">
        <f aca="false">IF(OR(F29="",G29=""),0,F29*G29)</f>
        <v>0</v>
      </c>
      <c r="J29" s="29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25"/>
      <c r="G30" s="26"/>
      <c r="H30" s="12"/>
      <c r="I30" s="35" t="n">
        <f aca="false">IF(OR(F30="",G30=""),0,F30*G30)</f>
        <v>0</v>
      </c>
      <c r="J30" s="29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25"/>
      <c r="G31" s="26"/>
      <c r="H31" s="12"/>
      <c r="I31" s="35" t="n">
        <f aca="false">IF(OR(F31="",G31=""),0,F31*G31)</f>
        <v>0</v>
      </c>
      <c r="J31" s="29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25"/>
      <c r="G32" s="26"/>
      <c r="H32" s="12"/>
      <c r="I32" s="35" t="n">
        <f aca="false">IF(OR(F32="",G32=""),0,F32*G32)</f>
        <v>0</v>
      </c>
      <c r="J32" s="29"/>
    </row>
    <row r="33" customFormat="false" ht="15" hidden="false" customHeight="false" outlineLevel="0" collapsed="false">
      <c r="A33" s="12"/>
      <c r="B33" s="12"/>
      <c r="C33" s="12"/>
      <c r="D33" s="12"/>
      <c r="E33" s="12"/>
      <c r="F33" s="25"/>
      <c r="G33" s="26"/>
      <c r="H33" s="12"/>
      <c r="I33" s="35" t="n">
        <f aca="false">IF(OR(F33="",G33=""),0,F33*G33)</f>
        <v>0</v>
      </c>
      <c r="J33" s="29"/>
    </row>
    <row r="34" customFormat="false" ht="15" hidden="false" customHeight="false" outlineLevel="0" collapsed="false">
      <c r="A34" s="12"/>
      <c r="B34" s="12"/>
      <c r="C34" s="12"/>
      <c r="D34" s="12"/>
      <c r="E34" s="12"/>
      <c r="F34" s="25"/>
      <c r="G34" s="26"/>
      <c r="H34" s="12"/>
      <c r="I34" s="35" t="n">
        <f aca="false">IF(OR(F34="",G34=""),0,F34*G34)</f>
        <v>0</v>
      </c>
      <c r="J34" s="29"/>
    </row>
    <row r="35" customFormat="false" ht="15" hidden="false" customHeight="false" outlineLevel="0" collapsed="false">
      <c r="A35" s="12"/>
      <c r="B35" s="12"/>
      <c r="C35" s="12"/>
      <c r="D35" s="12"/>
      <c r="E35" s="12"/>
      <c r="F35" s="25"/>
      <c r="G35" s="26"/>
      <c r="H35" s="12"/>
      <c r="I35" s="35" t="n">
        <f aca="false">IF(OR(F35="",G35=""),0,F35*G35)</f>
        <v>0</v>
      </c>
      <c r="J35" s="29"/>
    </row>
    <row r="36" customFormat="false" ht="15" hidden="false" customHeight="false" outlineLevel="0" collapsed="false">
      <c r="A36" s="12"/>
      <c r="B36" s="12"/>
      <c r="C36" s="12"/>
      <c r="D36" s="12"/>
      <c r="E36" s="12"/>
      <c r="F36" s="25"/>
      <c r="G36" s="26"/>
      <c r="H36" s="12"/>
      <c r="I36" s="35" t="n">
        <f aca="false">IF(OR(F36="",G36=""),0,F36*G36)</f>
        <v>0</v>
      </c>
      <c r="J36" s="29"/>
    </row>
    <row r="37" customFormat="false" ht="15" hidden="false" customHeight="false" outlineLevel="0" collapsed="false">
      <c r="A37" s="12"/>
      <c r="B37" s="12"/>
      <c r="C37" s="12"/>
      <c r="D37" s="12"/>
      <c r="E37" s="12"/>
      <c r="F37" s="25"/>
      <c r="G37" s="26"/>
      <c r="H37" s="12"/>
      <c r="I37" s="35" t="n">
        <f aca="false">IF(OR(F37="",G37=""),0,F37*G37)</f>
        <v>0</v>
      </c>
      <c r="J37" s="29"/>
    </row>
    <row r="38" customFormat="false" ht="15" hidden="false" customHeight="false" outlineLevel="0" collapsed="false">
      <c r="A38" s="12"/>
      <c r="B38" s="12"/>
      <c r="C38" s="12"/>
      <c r="D38" s="12"/>
      <c r="E38" s="12"/>
      <c r="F38" s="25"/>
      <c r="G38" s="26"/>
      <c r="H38" s="12"/>
      <c r="I38" s="35" t="n">
        <f aca="false">IF(OR(F38="",G38=""),0,F38*G38)</f>
        <v>0</v>
      </c>
      <c r="J38" s="29"/>
    </row>
    <row r="39" customFormat="false" ht="15" hidden="false" customHeight="false" outlineLevel="0" collapsed="false">
      <c r="A39" s="12"/>
      <c r="B39" s="12"/>
      <c r="C39" s="12"/>
      <c r="D39" s="12"/>
      <c r="E39" s="12"/>
      <c r="F39" s="25"/>
      <c r="G39" s="26"/>
      <c r="H39" s="12"/>
      <c r="I39" s="35" t="n">
        <f aca="false">IF(OR(F39="",G39=""),0,F39*G39)</f>
        <v>0</v>
      </c>
      <c r="J39" s="29"/>
    </row>
    <row r="40" customFormat="false" ht="15" hidden="false" customHeight="false" outlineLevel="0" collapsed="false">
      <c r="A40" s="12"/>
      <c r="B40" s="12"/>
      <c r="C40" s="12"/>
      <c r="D40" s="12"/>
      <c r="E40" s="12"/>
      <c r="F40" s="25"/>
      <c r="G40" s="26"/>
      <c r="H40" s="12"/>
      <c r="I40" s="35" t="n">
        <f aca="false">IF(OR(F40="",G40=""),0,F40*G40)</f>
        <v>0</v>
      </c>
      <c r="J40" s="29"/>
    </row>
    <row r="41" customFormat="false" ht="15" hidden="false" customHeight="false" outlineLevel="0" collapsed="false">
      <c r="A41" s="12"/>
      <c r="B41" s="12"/>
      <c r="C41" s="12"/>
      <c r="D41" s="12"/>
      <c r="E41" s="12"/>
      <c r="F41" s="25"/>
      <c r="G41" s="26"/>
      <c r="H41" s="12"/>
      <c r="I41" s="35" t="n">
        <f aca="false">IF(OR(F41="",G41=""),0,F41*G41)</f>
        <v>0</v>
      </c>
      <c r="J41" s="29"/>
    </row>
    <row r="42" customFormat="false" ht="15" hidden="false" customHeight="false" outlineLevel="0" collapsed="false">
      <c r="A42" s="12"/>
      <c r="B42" s="12"/>
      <c r="C42" s="12"/>
      <c r="D42" s="12"/>
      <c r="E42" s="12"/>
      <c r="F42" s="25"/>
      <c r="G42" s="26"/>
      <c r="H42" s="12"/>
      <c r="I42" s="35" t="n">
        <f aca="false">IF(OR(F42="",G42=""),0,F42*G42)</f>
        <v>0</v>
      </c>
      <c r="J42" s="29"/>
    </row>
    <row r="43" customFormat="false" ht="15" hidden="false" customHeight="false" outlineLevel="0" collapsed="false">
      <c r="A43" s="12"/>
      <c r="B43" s="12"/>
      <c r="C43" s="12"/>
      <c r="D43" s="12"/>
      <c r="E43" s="12"/>
      <c r="F43" s="25"/>
      <c r="G43" s="26"/>
      <c r="H43" s="12"/>
      <c r="I43" s="35" t="n">
        <f aca="false">IF(OR(F43="",G43=""),0,F43*G43)</f>
        <v>0</v>
      </c>
      <c r="J43" s="29"/>
    </row>
    <row r="44" customFormat="false" ht="15" hidden="false" customHeight="false" outlineLevel="0" collapsed="false">
      <c r="A44" s="12"/>
      <c r="B44" s="12"/>
      <c r="C44" s="12"/>
      <c r="D44" s="12"/>
      <c r="E44" s="12"/>
      <c r="F44" s="25"/>
      <c r="G44" s="26"/>
      <c r="H44" s="12"/>
      <c r="I44" s="35" t="n">
        <f aca="false">IF(OR(F44="",G44=""),0,F44*G44)</f>
        <v>0</v>
      </c>
      <c r="J44" s="29"/>
    </row>
    <row r="45" customFormat="false" ht="15" hidden="false" customHeight="false" outlineLevel="0" collapsed="false">
      <c r="A45" s="12"/>
      <c r="B45" s="12"/>
      <c r="C45" s="12"/>
      <c r="D45" s="12"/>
      <c r="E45" s="12"/>
      <c r="F45" s="25"/>
      <c r="G45" s="26"/>
      <c r="H45" s="12"/>
      <c r="I45" s="35" t="n">
        <f aca="false">IF(OR(F45="",G45=""),0,F45*G45)</f>
        <v>0</v>
      </c>
      <c r="J45" s="29"/>
    </row>
    <row r="47" customFormat="false" ht="15" hidden="false" customHeight="false" outlineLevel="0" collapsed="false">
      <c r="A47" s="2" t="s">
        <v>294</v>
      </c>
    </row>
  </sheetData>
  <dataValidations count="4">
    <dataValidation allowBlank="true" error="Pick from the list" errorStyle="stop" errorTitle="Not in list" operator="between" showDropDown="false" showErrorMessage="false" showInputMessage="false" sqref="B6:B45" type="list">
      <formula1>Groups!$A$6:$A$15</formula1>
      <formula2>0</formula2>
    </dataValidation>
    <dataValidation allowBlank="true" error="Pick from the list" errorStyle="stop" errorTitle="Not in list" operator="between" showDropDown="false" showErrorMessage="false" showInputMessage="false" sqref="C6:C45" type="list">
      <formula1>Assets!$A$6:$A$25</formula1>
      <formula2>0</formula2>
    </dataValidation>
    <dataValidation allowBlank="true" error="Pick from the list" errorStyle="stop" errorTitle="Not in list" operator="between" showDropDown="false" showErrorMessage="false" showInputMessage="false" sqref="E6:E45" type="list">
      <formula1>Lists!$L$2:$L$7</formula1>
      <formula2>0</formula2>
    </dataValidation>
    <dataValidation allowBlank="true" error="Pick from the list" errorStyle="stop" errorTitle="Not in list" operator="between" showDropDown="false" showErrorMessage="false" showInputMessage="false" sqref="H6:H45" type="list">
      <formula1>Lists!$D$2:$D$3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30"/>
    <col collapsed="false" customWidth="true" hidden="false" outlineLevel="0" max="5" min="5" style="0" width="15"/>
    <col collapsed="false" customWidth="true" hidden="false" outlineLevel="0" max="6" min="6" style="0" width="46"/>
  </cols>
  <sheetData>
    <row r="1" customFormat="false" ht="17.35" hidden="false" customHeight="false" outlineLevel="0" collapsed="false">
      <c r="A1" s="1" t="s">
        <v>295</v>
      </c>
    </row>
    <row r="2" customFormat="false" ht="15" hidden="false" customHeight="false" outlineLevel="0" collapsed="false">
      <c r="A2" s="2" t="s">
        <v>296</v>
      </c>
    </row>
    <row r="4" customFormat="false" ht="42" hidden="false" customHeight="true" outlineLevel="0" collapsed="false">
      <c r="A4" s="10" t="s">
        <v>282</v>
      </c>
      <c r="B4" s="10" t="s">
        <v>297</v>
      </c>
      <c r="C4" s="10" t="s">
        <v>298</v>
      </c>
      <c r="D4" s="10" t="s">
        <v>299</v>
      </c>
      <c r="E4" s="10" t="s">
        <v>300</v>
      </c>
      <c r="F4" s="10" t="s">
        <v>118</v>
      </c>
    </row>
    <row r="5" customFormat="false" ht="15" hidden="false" customHeight="false" outlineLevel="0" collapsed="false">
      <c r="A5" s="19" t="s">
        <v>119</v>
      </c>
      <c r="B5" s="19" t="s">
        <v>301</v>
      </c>
      <c r="C5" s="19" t="s">
        <v>302</v>
      </c>
      <c r="D5" s="19" t="s">
        <v>303</v>
      </c>
      <c r="E5" s="23" t="n">
        <v>24000</v>
      </c>
      <c r="F5" s="19" t="s">
        <v>204</v>
      </c>
    </row>
    <row r="6" customFormat="false" ht="15" hidden="false" customHeight="false" outlineLevel="0" collapsed="false">
      <c r="A6" s="12" t="s">
        <v>304</v>
      </c>
      <c r="B6" s="14" t="s">
        <v>305</v>
      </c>
      <c r="C6" s="14" t="s">
        <v>306</v>
      </c>
      <c r="D6" s="12"/>
      <c r="E6" s="33"/>
      <c r="F6" s="13" t="s">
        <v>307</v>
      </c>
    </row>
    <row r="7" customFormat="false" ht="15" hidden="false" customHeight="false" outlineLevel="0" collapsed="false">
      <c r="A7" s="12" t="s">
        <v>308</v>
      </c>
      <c r="B7" s="14" t="s">
        <v>309</v>
      </c>
      <c r="C7" s="14" t="s">
        <v>310</v>
      </c>
      <c r="D7" s="12" t="s">
        <v>311</v>
      </c>
      <c r="E7" s="33"/>
      <c r="F7" s="13" t="s">
        <v>312</v>
      </c>
    </row>
    <row r="8" customFormat="false" ht="15" hidden="false" customHeight="false" outlineLevel="0" collapsed="false">
      <c r="A8" s="12" t="s">
        <v>313</v>
      </c>
      <c r="B8" s="14" t="s">
        <v>301</v>
      </c>
      <c r="C8" s="14" t="s">
        <v>302</v>
      </c>
      <c r="D8" s="12" t="s">
        <v>303</v>
      </c>
      <c r="E8" s="33"/>
      <c r="F8" s="13"/>
    </row>
    <row r="9" customFormat="false" ht="15" hidden="false" customHeight="false" outlineLevel="0" collapsed="false">
      <c r="A9" s="12" t="s">
        <v>314</v>
      </c>
      <c r="B9" s="14" t="s">
        <v>301</v>
      </c>
      <c r="C9" s="14" t="s">
        <v>302</v>
      </c>
      <c r="D9" s="12" t="s">
        <v>315</v>
      </c>
      <c r="E9" s="33"/>
      <c r="F9" s="13"/>
    </row>
    <row r="10" customFormat="false" ht="15" hidden="false" customHeight="false" outlineLevel="0" collapsed="false">
      <c r="A10" s="12" t="s">
        <v>316</v>
      </c>
      <c r="B10" s="14" t="s">
        <v>301</v>
      </c>
      <c r="C10" s="14" t="s">
        <v>302</v>
      </c>
      <c r="D10" s="12" t="s">
        <v>317</v>
      </c>
      <c r="E10" s="33"/>
      <c r="F10" s="13"/>
    </row>
    <row r="11" customFormat="false" ht="15" hidden="false" customHeight="false" outlineLevel="0" collapsed="false">
      <c r="A11" s="12" t="s">
        <v>318</v>
      </c>
      <c r="B11" s="14" t="s">
        <v>301</v>
      </c>
      <c r="C11" s="14" t="s">
        <v>302</v>
      </c>
      <c r="D11" s="12" t="s">
        <v>319</v>
      </c>
      <c r="E11" s="33"/>
      <c r="F11" s="13"/>
    </row>
    <row r="12" customFormat="false" ht="15" hidden="false" customHeight="false" outlineLevel="0" collapsed="false">
      <c r="A12" s="12" t="s">
        <v>320</v>
      </c>
      <c r="B12" s="14" t="s">
        <v>301</v>
      </c>
      <c r="C12" s="14" t="s">
        <v>302</v>
      </c>
      <c r="D12" s="12" t="s">
        <v>319</v>
      </c>
      <c r="E12" s="33"/>
      <c r="F12" s="13"/>
    </row>
    <row r="13" customFormat="false" ht="15" hidden="false" customHeight="false" outlineLevel="0" collapsed="false">
      <c r="A13" s="12" t="s">
        <v>321</v>
      </c>
      <c r="B13" s="14" t="s">
        <v>301</v>
      </c>
      <c r="C13" s="14" t="s">
        <v>302</v>
      </c>
      <c r="D13" s="12" t="s">
        <v>322</v>
      </c>
      <c r="E13" s="33"/>
      <c r="F13" s="13"/>
    </row>
    <row r="14" customFormat="false" ht="15" hidden="false" customHeight="false" outlineLevel="0" collapsed="false">
      <c r="A14" s="12" t="s">
        <v>323</v>
      </c>
      <c r="B14" s="14" t="s">
        <v>301</v>
      </c>
      <c r="C14" s="14" t="s">
        <v>302</v>
      </c>
      <c r="D14" s="12" t="s">
        <v>324</v>
      </c>
      <c r="E14" s="33"/>
      <c r="F14" s="13"/>
    </row>
    <row r="15" customFormat="false" ht="15" hidden="false" customHeight="false" outlineLevel="0" collapsed="false">
      <c r="A15" s="12" t="s">
        <v>325</v>
      </c>
      <c r="B15" s="14" t="s">
        <v>301</v>
      </c>
      <c r="C15" s="14" t="s">
        <v>302</v>
      </c>
      <c r="D15" s="12" t="s">
        <v>326</v>
      </c>
      <c r="E15" s="33"/>
      <c r="F15" s="13" t="s">
        <v>327</v>
      </c>
    </row>
    <row r="16" customFormat="false" ht="15" hidden="false" customHeight="false" outlineLevel="0" collapsed="false">
      <c r="A16" s="12"/>
      <c r="B16" s="12"/>
      <c r="C16" s="12"/>
      <c r="D16" s="12"/>
      <c r="E16" s="33"/>
      <c r="F16" s="13"/>
    </row>
    <row r="17" customFormat="false" ht="15" hidden="false" customHeight="false" outlineLevel="0" collapsed="false">
      <c r="A17" s="12"/>
      <c r="B17" s="12"/>
      <c r="C17" s="12"/>
      <c r="D17" s="12"/>
      <c r="E17" s="33"/>
      <c r="F17" s="13"/>
    </row>
    <row r="18" customFormat="false" ht="15" hidden="false" customHeight="false" outlineLevel="0" collapsed="false">
      <c r="A18" s="12"/>
      <c r="B18" s="12"/>
      <c r="C18" s="12"/>
      <c r="D18" s="12"/>
      <c r="E18" s="33"/>
      <c r="F18" s="13"/>
    </row>
    <row r="19" customFormat="false" ht="15" hidden="false" customHeight="false" outlineLevel="0" collapsed="false">
      <c r="A19" s="12"/>
      <c r="B19" s="12"/>
      <c r="C19" s="12"/>
      <c r="D19" s="12"/>
      <c r="E19" s="33"/>
      <c r="F19" s="13"/>
    </row>
    <row r="20" customFormat="false" ht="15" hidden="false" customHeight="false" outlineLevel="0" collapsed="false">
      <c r="A20" s="12"/>
      <c r="B20" s="12"/>
      <c r="C20" s="12"/>
      <c r="D20" s="12"/>
      <c r="E20" s="33"/>
      <c r="F20" s="13"/>
    </row>
    <row r="21" customFormat="false" ht="15" hidden="false" customHeight="false" outlineLevel="0" collapsed="false">
      <c r="A21" s="12"/>
      <c r="B21" s="12"/>
      <c r="C21" s="12"/>
      <c r="D21" s="12"/>
      <c r="E21" s="33"/>
      <c r="F21" s="13"/>
    </row>
    <row r="22" customFormat="false" ht="15" hidden="false" customHeight="false" outlineLevel="0" collapsed="false">
      <c r="A22" s="12"/>
      <c r="B22" s="12"/>
      <c r="C22" s="12"/>
      <c r="D22" s="12"/>
      <c r="E22" s="33"/>
      <c r="F22" s="13"/>
    </row>
    <row r="23" customFormat="false" ht="15" hidden="false" customHeight="false" outlineLevel="0" collapsed="false">
      <c r="A23" s="12"/>
      <c r="B23" s="12"/>
      <c r="C23" s="12"/>
      <c r="D23" s="12"/>
      <c r="E23" s="33"/>
      <c r="F23" s="13"/>
    </row>
    <row r="24" customFormat="false" ht="15" hidden="false" customHeight="false" outlineLevel="0" collapsed="false">
      <c r="A24" s="12"/>
      <c r="B24" s="12"/>
      <c r="C24" s="12"/>
      <c r="D24" s="12"/>
      <c r="E24" s="33"/>
      <c r="F24" s="13"/>
    </row>
    <row r="25" customFormat="false" ht="15" hidden="false" customHeight="false" outlineLevel="0" collapsed="false">
      <c r="A25" s="12"/>
      <c r="B25" s="12"/>
      <c r="C25" s="12"/>
      <c r="D25" s="12"/>
      <c r="E25" s="33"/>
      <c r="F25" s="13"/>
    </row>
    <row r="26" customFormat="false" ht="15" hidden="false" customHeight="false" outlineLevel="0" collapsed="false">
      <c r="A26" s="12"/>
      <c r="B26" s="12"/>
      <c r="C26" s="12"/>
      <c r="D26" s="12"/>
      <c r="E26" s="33"/>
      <c r="F26" s="13"/>
    </row>
    <row r="27" customFormat="false" ht="15" hidden="false" customHeight="false" outlineLevel="0" collapsed="false">
      <c r="A27" s="12"/>
      <c r="B27" s="12"/>
      <c r="C27" s="12"/>
      <c r="D27" s="12"/>
      <c r="E27" s="33"/>
      <c r="F27" s="13"/>
    </row>
    <row r="28" customFormat="false" ht="15" hidden="false" customHeight="false" outlineLevel="0" collapsed="false">
      <c r="A28" s="12"/>
      <c r="B28" s="12"/>
      <c r="C28" s="12"/>
      <c r="D28" s="12"/>
      <c r="E28" s="33"/>
      <c r="F28" s="13"/>
    </row>
    <row r="29" customFormat="false" ht="15" hidden="false" customHeight="false" outlineLevel="0" collapsed="false">
      <c r="A29" s="12"/>
      <c r="B29" s="12"/>
      <c r="C29" s="12"/>
      <c r="D29" s="12"/>
      <c r="E29" s="33"/>
      <c r="F29" s="13"/>
    </row>
    <row r="30" customFormat="false" ht="15" hidden="false" customHeight="false" outlineLevel="0" collapsed="false">
      <c r="A30" s="12"/>
      <c r="B30" s="12"/>
      <c r="C30" s="12"/>
      <c r="D30" s="12"/>
      <c r="E30" s="33"/>
      <c r="F30" s="13"/>
    </row>
    <row r="32" customFormat="false" ht="15" hidden="false" customHeight="false" outlineLevel="0" collapsed="false">
      <c r="A32" s="4" t="s">
        <v>328</v>
      </c>
      <c r="E32" s="27" t="n">
        <f aca="false">SUMIFS(E6:E30,C6:C30,"revenue")</f>
        <v>0</v>
      </c>
    </row>
    <row r="33" customFormat="false" ht="15" hidden="false" customHeight="false" outlineLevel="0" collapsed="false">
      <c r="A33" s="4" t="s">
        <v>329</v>
      </c>
      <c r="E33" s="27" t="n">
        <f aca="false">SUMIFS(E6:E30,C6:C30,"cogs")</f>
        <v>0</v>
      </c>
    </row>
    <row r="34" customFormat="false" ht="15" hidden="false" customHeight="false" outlineLevel="0" collapsed="false">
      <c r="A34" s="4" t="s">
        <v>330</v>
      </c>
      <c r="E34" s="27" t="n">
        <f aca="false">SUMIFS(E6:E30,C6:C30,"general_overheads")</f>
        <v>0</v>
      </c>
    </row>
    <row r="35" customFormat="false" ht="15" hidden="false" customHeight="false" outlineLevel="0" collapsed="false">
      <c r="A35" s="4" t="s">
        <v>331</v>
      </c>
      <c r="E35" s="36" t="n">
        <f aca="false">Staff!T32</f>
        <v>0</v>
      </c>
    </row>
    <row r="36" customFormat="false" ht="15" hidden="false" customHeight="false" outlineLevel="0" collapsed="false">
      <c r="A36" s="4" t="s">
        <v>332</v>
      </c>
      <c r="E36" s="27" t="n">
        <f aca="false">E32-E33-E34-E35</f>
        <v>0</v>
      </c>
    </row>
    <row r="38" customFormat="false" ht="15" hidden="false" customHeight="false" outlineLevel="0" collapsed="false">
      <c r="A38" s="2" t="s">
        <v>333</v>
      </c>
    </row>
  </sheetData>
  <dataValidations count="3">
    <dataValidation allowBlank="true" error="Pick from the list" errorStyle="stop" errorTitle="Not in list" operator="between" showDropDown="false" showErrorMessage="false" showInputMessage="false" sqref="B16:B30" type="list">
      <formula1>"trading_income,cost_of_sales,operating_expenses"</formula1>
      <formula2>0</formula2>
    </dataValidation>
    <dataValidation allowBlank="true" error="Pick from the list" errorStyle="stop" errorTitle="Not in list" operator="between" showDropDown="false" showErrorMessage="false" showInputMessage="false" sqref="C16:C30" type="list">
      <formula1>"revenue,cogs,general_overheads"</formula1>
      <formula2>0</formula2>
    </dataValidation>
    <dataValidation allowBlank="true" error="Pick from the list" errorStyle="stop" errorTitle="Not in list" operator="between" showDropDown="false" showErrorMessage="false" showInputMessage="false" sqref="D7:D30" type="list">
      <formula1>Lists!$H$2:$H$10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46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40</v>
      </c>
    </row>
    <row r="2" customFormat="false" ht="15" hidden="false" customHeight="false" outlineLevel="0" collapsed="false">
      <c r="A2" s="2" t="s">
        <v>334</v>
      </c>
    </row>
    <row r="4" customFormat="false" ht="42" hidden="false" customHeight="true" outlineLevel="0" collapsed="false">
      <c r="A4" s="10" t="s">
        <v>335</v>
      </c>
      <c r="B4" s="10" t="s">
        <v>52</v>
      </c>
      <c r="C4" s="10" t="s">
        <v>336</v>
      </c>
      <c r="D4" s="10" t="s">
        <v>167</v>
      </c>
    </row>
    <row r="5" customFormat="false" ht="15" hidden="false" customHeight="false" outlineLevel="0" collapsed="false">
      <c r="A5" s="13" t="s">
        <v>337</v>
      </c>
      <c r="B5" s="37" t="n">
        <f aca="false">Staff!D32</f>
        <v>10</v>
      </c>
      <c r="C5" s="13" t="s">
        <v>338</v>
      </c>
      <c r="D5" s="24"/>
    </row>
    <row r="6" customFormat="false" ht="15" hidden="false" customHeight="false" outlineLevel="0" collapsed="false">
      <c r="A6" s="13" t="s">
        <v>339</v>
      </c>
      <c r="B6" s="37" t="n">
        <f aca="false">SUMIFS(Staff!D6:D30,Staff!E6:E30,"productive")</f>
        <v>7</v>
      </c>
      <c r="C6" s="13" t="s">
        <v>340</v>
      </c>
      <c r="D6" s="24"/>
    </row>
    <row r="7" customFormat="false" ht="15" hidden="false" customHeight="false" outlineLevel="0" collapsed="false">
      <c r="A7" s="13" t="s">
        <v>341</v>
      </c>
      <c r="B7" s="37" t="n">
        <f aca="false">SUMIFS(Staff!D6:D30,Staff!E6:E30,"non_productive")</f>
        <v>3</v>
      </c>
      <c r="C7" s="13" t="s">
        <v>342</v>
      </c>
      <c r="D7" s="24"/>
    </row>
    <row r="8" customFormat="false" ht="15" hidden="false" customHeight="false" outlineLevel="0" collapsed="false">
      <c r="A8" s="13" t="s">
        <v>343</v>
      </c>
      <c r="B8" s="37" t="n">
        <f aca="false">SUMIFS(Assets!C6:C25,Assets!D6:D25,"productive")</f>
        <v>4</v>
      </c>
      <c r="C8" s="13" t="s">
        <v>344</v>
      </c>
      <c r="D8" s="24"/>
    </row>
    <row r="9" customFormat="false" ht="15" hidden="false" customHeight="false" outlineLevel="0" collapsed="false">
      <c r="A9" s="13" t="s">
        <v>345</v>
      </c>
      <c r="B9" s="37" t="n">
        <f aca="false">SUMIFS(Assets!C6:C25,Assets!D6:D25,"support")</f>
        <v>3</v>
      </c>
      <c r="C9" s="13" t="s">
        <v>342</v>
      </c>
      <c r="D9" s="24"/>
    </row>
    <row r="10" customFormat="false" ht="15" hidden="false" customHeight="false" outlineLevel="0" collapsed="false">
      <c r="A10" s="13" t="s">
        <v>346</v>
      </c>
      <c r="B10" s="37" t="n">
        <f aca="false">COUNTIFS(Staff!B6:B30,"&lt;&gt;",Staff!I6:I30,"")</f>
        <v>6</v>
      </c>
      <c r="C10" s="13" t="s">
        <v>347</v>
      </c>
      <c r="D10" s="24" t="str">
        <f aca="false">IF(B10=0,"OK","FILL IN")</f>
        <v>FILL IN</v>
      </c>
    </row>
    <row r="11" customFormat="false" ht="15" hidden="false" customHeight="false" outlineLevel="0" collapsed="false">
      <c r="A11" s="13" t="s">
        <v>348</v>
      </c>
      <c r="B11" s="37" t="n">
        <f aca="false">COUNTIF(Charge_Out!F5:F14,"MISSING*")</f>
        <v>3</v>
      </c>
      <c r="C11" s="13" t="s">
        <v>347</v>
      </c>
      <c r="D11" s="24" t="str">
        <f aca="false">IF(B11=0,"OK","FILL IN")</f>
        <v>FILL IN</v>
      </c>
    </row>
    <row r="12" customFormat="false" ht="15" hidden="false" customHeight="false" outlineLevel="0" collapsed="false">
      <c r="A12" s="13" t="s">
        <v>349</v>
      </c>
      <c r="B12" s="37" t="n">
        <f aca="false">COUNTIFS(Assets!D6:D25,"productive",Assets!H6:H25,"")</f>
        <v>4</v>
      </c>
      <c r="C12" s="13" t="s">
        <v>350</v>
      </c>
      <c r="D12" s="24" t="str">
        <f aca="false">IF(B12=0,"OK","FILL IN")</f>
        <v>FILL IN</v>
      </c>
    </row>
    <row r="13" customFormat="false" ht="15" hidden="false" customHeight="false" outlineLevel="0" collapsed="false">
      <c r="A13" s="13" t="s">
        <v>351</v>
      </c>
      <c r="B13" s="37" t="n">
        <f aca="false">COUNTIFS(Labour_Assign!F6:F60,"&lt;&gt;OK",Labour_Assign!B6:B60,"&lt;&gt;")</f>
        <v>9</v>
      </c>
      <c r="C13" s="13" t="s">
        <v>347</v>
      </c>
      <c r="D13" s="24" t="str">
        <f aca="false">IF(B13=0,"OK","REVIEW")</f>
        <v>REVIEW</v>
      </c>
    </row>
    <row r="14" customFormat="false" ht="15" hidden="false" customHeight="false" outlineLevel="0" collapsed="false">
      <c r="A14" s="13" t="s">
        <v>352</v>
      </c>
      <c r="B14" s="37" t="n">
        <f aca="false">COUNTIFS(Asset_Assign!F6:F60,"&lt;&gt;OK",Asset_Assign!B6:B60,"&lt;&gt;")</f>
        <v>0</v>
      </c>
      <c r="C14" s="13" t="s">
        <v>347</v>
      </c>
      <c r="D14" s="24" t="str">
        <f aca="false">IF(B14=0,"OK","REVIEW")</f>
        <v>OK</v>
      </c>
    </row>
    <row r="15" customFormat="false" ht="15" hidden="false" customHeight="false" outlineLevel="0" collapsed="false">
      <c r="A15" s="13" t="s">
        <v>353</v>
      </c>
      <c r="B15" s="37" t="n">
        <f aca="false">COUNTIFS(Groups!H6:H15,"&lt;&gt;OK",Groups!B6:B15,"&lt;&gt;")</f>
        <v>4</v>
      </c>
      <c r="C15" s="13" t="s">
        <v>347</v>
      </c>
      <c r="D15" s="24" t="str">
        <f aca="false">IF(B15=0,"OK","REVIEW")</f>
        <v>REVIEW</v>
      </c>
    </row>
    <row r="16" customFormat="false" ht="15" hidden="false" customHeight="false" outlineLevel="0" collapsed="false">
      <c r="A16" s="13" t="s">
        <v>354</v>
      </c>
      <c r="B16" s="37" t="n">
        <f aca="false">SUMPRODUCT((Assets!D6:D25="productive")*(COUNTIF(Rate_Builder!C6:C45,Assets!A6:A25)=0))</f>
        <v>0</v>
      </c>
      <c r="C16" s="13" t="s">
        <v>355</v>
      </c>
      <c r="D16" s="24" t="str">
        <f aca="false">IF(B16=0,"OK","REVIEW")</f>
        <v>OK</v>
      </c>
    </row>
    <row r="17" customFormat="false" ht="15" hidden="false" customHeight="false" outlineLevel="0" collapsed="false">
      <c r="A17" s="13" t="s">
        <v>356</v>
      </c>
      <c r="B17" s="37" t="n">
        <f aca="false">COUNTIFS(Rate_Builder!A6:A45,"&lt;&gt;",Rate_Builder!F6:F45,"")</f>
        <v>4</v>
      </c>
      <c r="C17" s="13" t="s">
        <v>347</v>
      </c>
      <c r="D17" s="24" t="str">
        <f aca="false">IF(B17=0,"OK","FILL IN")</f>
        <v>FILL IN</v>
      </c>
    </row>
    <row r="18" customFormat="false" ht="15" hidden="false" customHeight="false" outlineLevel="0" collapsed="false">
      <c r="A18" s="13" t="s">
        <v>357</v>
      </c>
      <c r="B18" s="36" t="n">
        <f aca="false">PnL!E32</f>
        <v>0</v>
      </c>
      <c r="C18" s="13" t="s">
        <v>358</v>
      </c>
      <c r="D18" s="24" t="str">
        <f aca="false">IF(B18&gt;0,"OK","FILL IN")</f>
        <v>FILL IN</v>
      </c>
    </row>
    <row r="19" customFormat="false" ht="15" hidden="false" customHeight="false" outlineLevel="0" collapsed="false">
      <c r="A19" s="13" t="s">
        <v>359</v>
      </c>
      <c r="B19" s="38" t="str">
        <f aca="false">IF(Business!B11="","",Business!B11)</f>
        <v/>
      </c>
      <c r="C19" s="13" t="s">
        <v>360</v>
      </c>
      <c r="D19" s="24" t="str">
        <f aca="false">IF(B19="","FILL IN","OK")</f>
        <v>FILL IN</v>
      </c>
    </row>
    <row r="20" customFormat="false" ht="15" hidden="false" customHeight="false" outlineLevel="0" collapsed="false">
      <c r="A20" s="13" t="s">
        <v>361</v>
      </c>
      <c r="B20" s="37" t="n">
        <f aca="false">Business!B9</f>
        <v>0</v>
      </c>
      <c r="C20" s="13" t="s">
        <v>362</v>
      </c>
      <c r="D20" s="24" t="str">
        <f aca="false">IF(B20="","FILL IN","OK")</f>
        <v>FILL IN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2" min="1" style="0" width="26"/>
  </cols>
  <sheetData>
    <row r="1" customFormat="false" ht="15" hidden="false" customHeight="false" outlineLevel="0" collapsed="false">
      <c r="A1" s="39" t="s">
        <v>99</v>
      </c>
      <c r="B1" s="39" t="s">
        <v>363</v>
      </c>
      <c r="C1" s="39" t="s">
        <v>102</v>
      </c>
      <c r="D1" s="39" t="s">
        <v>364</v>
      </c>
      <c r="E1" s="39" t="s">
        <v>185</v>
      </c>
      <c r="F1" s="39" t="s">
        <v>365</v>
      </c>
      <c r="G1" s="39" t="s">
        <v>366</v>
      </c>
      <c r="H1" s="39" t="s">
        <v>367</v>
      </c>
      <c r="I1" s="39" t="s">
        <v>368</v>
      </c>
      <c r="J1" s="39" t="s">
        <v>369</v>
      </c>
      <c r="K1" s="39" t="s">
        <v>370</v>
      </c>
      <c r="L1" s="39" t="s">
        <v>371</v>
      </c>
    </row>
    <row r="2" customFormat="false" ht="15" hidden="false" customHeight="false" outlineLevel="0" collapsed="false">
      <c r="A2" s="18" t="s">
        <v>131</v>
      </c>
      <c r="B2" s="18" t="s">
        <v>168</v>
      </c>
      <c r="C2" s="18" t="s">
        <v>122</v>
      </c>
      <c r="D2" s="18" t="s">
        <v>81</v>
      </c>
      <c r="E2" s="18" t="s">
        <v>122</v>
      </c>
      <c r="F2" s="18" t="s">
        <v>245</v>
      </c>
      <c r="G2" s="18" t="s">
        <v>246</v>
      </c>
      <c r="H2" s="18" t="s">
        <v>303</v>
      </c>
      <c r="I2" s="18" t="s">
        <v>311</v>
      </c>
      <c r="J2" s="18" t="s">
        <v>69</v>
      </c>
      <c r="K2" s="18" t="s">
        <v>372</v>
      </c>
      <c r="L2" s="18" t="s">
        <v>289</v>
      </c>
    </row>
    <row r="3" customFormat="false" ht="15" hidden="false" customHeight="false" outlineLevel="0" collapsed="false">
      <c r="A3" s="18" t="s">
        <v>169</v>
      </c>
      <c r="B3" s="18" t="s">
        <v>170</v>
      </c>
      <c r="C3" s="18" t="s">
        <v>132</v>
      </c>
      <c r="D3" s="18" t="s">
        <v>89</v>
      </c>
      <c r="E3" s="18" t="s">
        <v>216</v>
      </c>
      <c r="F3" s="18" t="s">
        <v>255</v>
      </c>
      <c r="G3" s="18" t="s">
        <v>373</v>
      </c>
      <c r="H3" s="18" t="s">
        <v>317</v>
      </c>
      <c r="I3" s="18" t="s">
        <v>374</v>
      </c>
      <c r="J3" s="18" t="s">
        <v>375</v>
      </c>
      <c r="K3" s="18" t="s">
        <v>376</v>
      </c>
      <c r="L3" s="18" t="s">
        <v>377</v>
      </c>
    </row>
    <row r="4" customFormat="false" ht="15" hidden="false" customHeight="false" outlineLevel="0" collapsed="false">
      <c r="A4" s="18" t="s">
        <v>129</v>
      </c>
      <c r="B4" s="18" t="s">
        <v>171</v>
      </c>
      <c r="C4" s="18"/>
      <c r="D4" s="18"/>
      <c r="E4" s="18"/>
      <c r="F4" s="18"/>
      <c r="G4" s="18"/>
      <c r="H4" s="18" t="s">
        <v>315</v>
      </c>
      <c r="I4" s="18" t="s">
        <v>378</v>
      </c>
      <c r="J4" s="18"/>
      <c r="K4" s="18"/>
      <c r="L4" s="18" t="s">
        <v>379</v>
      </c>
    </row>
    <row r="5" customFormat="false" ht="15" hidden="false" customHeight="false" outlineLevel="0" collapsed="false">
      <c r="A5" s="18" t="s">
        <v>127</v>
      </c>
      <c r="B5" s="18" t="s">
        <v>172</v>
      </c>
      <c r="C5" s="18"/>
      <c r="D5" s="18"/>
      <c r="E5" s="18"/>
      <c r="F5" s="18"/>
      <c r="G5" s="18"/>
      <c r="H5" s="18" t="s">
        <v>319</v>
      </c>
      <c r="I5" s="18" t="s">
        <v>380</v>
      </c>
      <c r="J5" s="18"/>
      <c r="K5" s="18"/>
      <c r="L5" s="18" t="s">
        <v>381</v>
      </c>
    </row>
    <row r="6" customFormat="false" ht="15" hidden="false" customHeight="false" outlineLevel="0" collapsed="false">
      <c r="A6" s="18" t="s">
        <v>120</v>
      </c>
      <c r="B6" s="18" t="s">
        <v>121</v>
      </c>
      <c r="C6" s="18"/>
      <c r="D6" s="18"/>
      <c r="E6" s="18"/>
      <c r="F6" s="18"/>
      <c r="G6" s="18"/>
      <c r="H6" s="18" t="s">
        <v>322</v>
      </c>
      <c r="I6" s="18" t="s">
        <v>382</v>
      </c>
      <c r="J6" s="18"/>
      <c r="K6" s="18"/>
      <c r="L6" s="18" t="s">
        <v>383</v>
      </c>
    </row>
    <row r="7" customFormat="false" ht="15" hidden="false" customHeight="false" outlineLevel="0" collapsed="false">
      <c r="A7" s="18" t="s">
        <v>173</v>
      </c>
      <c r="B7" s="18" t="s">
        <v>174</v>
      </c>
      <c r="C7" s="18"/>
      <c r="D7" s="18"/>
      <c r="E7" s="18"/>
      <c r="F7" s="18"/>
      <c r="G7" s="18"/>
      <c r="H7" s="18" t="s">
        <v>324</v>
      </c>
      <c r="I7" s="18" t="s">
        <v>384</v>
      </c>
      <c r="J7" s="18"/>
      <c r="K7" s="18"/>
      <c r="L7" s="18" t="s">
        <v>385</v>
      </c>
    </row>
    <row r="8" customFormat="false" ht="15" hidden="false" customHeight="false" outlineLevel="0" collapsed="false">
      <c r="A8" s="18" t="s">
        <v>135</v>
      </c>
      <c r="B8" s="18" t="s">
        <v>175</v>
      </c>
      <c r="C8" s="18"/>
      <c r="D8" s="18"/>
      <c r="E8" s="18"/>
      <c r="F8" s="18"/>
      <c r="G8" s="18"/>
      <c r="H8" s="18" t="s">
        <v>386</v>
      </c>
      <c r="I8" s="18" t="s">
        <v>387</v>
      </c>
      <c r="J8" s="18"/>
      <c r="K8" s="18"/>
      <c r="L8" s="18"/>
    </row>
    <row r="9" customFormat="false" ht="15" hidden="false" customHeight="false" outlineLevel="0" collapsed="false">
      <c r="A9" s="18" t="s">
        <v>176</v>
      </c>
      <c r="B9" s="18" t="s">
        <v>177</v>
      </c>
      <c r="C9" s="18"/>
      <c r="D9" s="18"/>
      <c r="E9" s="18"/>
      <c r="F9" s="18"/>
      <c r="G9" s="18"/>
      <c r="H9" s="18" t="s">
        <v>326</v>
      </c>
      <c r="I9" s="18" t="s">
        <v>388</v>
      </c>
      <c r="J9" s="18"/>
      <c r="K9" s="18"/>
      <c r="L9" s="18"/>
    </row>
    <row r="10" customFormat="false" ht="15" hidden="false" customHeight="false" outlineLevel="0" collapsed="false">
      <c r="A10" s="18" t="s">
        <v>138</v>
      </c>
      <c r="B10" s="18" t="s">
        <v>178</v>
      </c>
      <c r="C10" s="18"/>
      <c r="D10" s="18"/>
      <c r="E10" s="18"/>
      <c r="F10" s="18"/>
      <c r="G10" s="18"/>
      <c r="H10" s="18" t="s">
        <v>389</v>
      </c>
      <c r="I10" s="18"/>
      <c r="J10" s="18"/>
      <c r="K10" s="18"/>
      <c r="L10" s="18"/>
    </row>
    <row r="11" customFormat="false" ht="15" hidden="false" customHeight="false" outlineLevel="0" collapsed="false">
      <c r="A11" s="18" t="s">
        <v>179</v>
      </c>
      <c r="B11" s="18" t="s">
        <v>180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</row>
    <row r="12" customFormat="false" ht="15" hidden="false" customHeight="false" outlineLevel="0" collapsed="false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4" customFormat="false" ht="15" hidden="false" customHeight="false" outlineLevel="0" collapsed="false">
      <c r="A14" s="40" t="s">
        <v>390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2026-10-16T19:21:58Z</dcterms:created>
  <dc:creator>openpyxl</dc:creator>
  <dc:description/>
  <dc:language>en-US</dc:language>
  <cp:lastModifiedBy/>
  <dcterms:modified xsi:type="dcterms:W3CDTF">2026-10-16T19:21:58Z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